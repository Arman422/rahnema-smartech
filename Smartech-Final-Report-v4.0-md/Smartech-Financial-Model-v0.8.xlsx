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راهنما" sheetId="1" state="visible" r:id="rId3"/>
    <sheet name="مفروضات مشترک" sheetId="2" state="visible" r:id="rId4"/>
    <sheet name="سناریوها" sheetId="3" state="visible" r:id="rId5"/>
    <sheet name="بازار هدف" sheetId="4" state="visible" r:id="rId6"/>
    <sheet name="اقتصاد واحد" sheetId="5" state="visible" r:id="rId7"/>
    <sheet name="مدل بدبین" sheetId="6" state="visible" r:id="rId8"/>
    <sheet name="مدل پایه" sheetId="7" state="visible" r:id="rId9"/>
    <sheet name="مدل خوش‌بین" sheetId="8" state="visible" r:id="rId10"/>
    <sheet name="مقایسهٔ سناریوها" sheetId="9" state="visible" r:id="rId11"/>
    <sheet name="حساسیت"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<sst xmlns="http://schemas.openxmlformats.org/spreadsheetml/2006/main" count="631" uniqueCount="437">
  <si>
    <t xml:space="preserve">مدل مالی خط کسب‌وکار جدید اسمارتک — حلقهٔ بستهٔ تصمیم کمپین</t>
  </si>
  <si>
    <t xml:space="preserve">نسخهٔ v0.8 · ۳۱ شهریور ۱۴۰۵ · واحد پول: میلیون تومان · افق: ۲۴ ماه</t>
  </si>
  <si>
    <t xml:space="preserve">چه چیزی در v0.8 عوض شد — مهم</t>
  </si>
  <si>
    <t xml:space="preserve">رشد فهرست قیمت به هنجار بازار لنگر شد.</t>
  </si>
  <si>
    <t xml:space="preserve">رشد سالانهٔ فهرست قیمت از ۲۰/۴۰/۴۰ درصد به ۳۰/۳۲٫۵/۳۵ درصد (بدبین/پایه/خوش‌بین) رسید — بازه‌ای که I-05 برای ابزارهای داخلی گزارش کرد. چون تورم هزینه ۴۰٪ است، حاشیهٔ هر مشتری سال به سال فشرده می‌شود.</t>
  </si>
  <si>
    <t xml:space="preserve">⚠ وزن این شاهد پایین است.</t>
  </si>
  <si>
    <t xml:space="preserve">I-05 کسب‌وکار کوچکی دارد. این شاهد فقط چون مدل را محافظه‌کارانه‌تر می‌کند پذیرفته شد: سود عملیاتی سال دوم پایه ۸۰۱ میلیون بدتر شد.</t>
  </si>
  <si>
    <t xml:space="preserve">چه چیزی در v0.7 عوض شد</t>
  </si>
  <si>
    <t xml:space="preserve">نرخ رشد از حدس به شاهد تبدیل شد.</t>
  </si>
  <si>
    <t xml:space="preserve">v0.6 رشد ۷۰٪ را برآورد تیم گرفته بود. v0.7 آن را با ۴۴٪ جایگزین کرد — عددی که گزارش سالانهٔ ۱۴۰۴ دیجی‌کالا مستقیما می‌دهد. نتیجه: همهٔ اندازه‌ها حدود ۲۹٪ کوچک‌تر شدند.</t>
  </si>
  <si>
    <t xml:space="preserve">چه چیزی در v0.6 عوض شد</t>
  </si>
  <si>
    <t xml:space="preserve">فروش فازی جایگزین فروش حلقهٔ کامل شد.</t>
  </si>
  <si>
    <t xml:space="preserve">سه فاز جدا فروخته می‌شوند: Verifier → Designer → Simulator. درآمد هر مشتری با عرضهٔ هر فاز پلکانی بالا می‌رود.</t>
  </si>
  <si>
    <t xml:space="preserve">زمان‌بندی عرضه.</t>
  </si>
  <si>
    <t xml:space="preserve">فاز ۱ در ماه ۶، فاز ۲ در ماه ۱۱، فاز ۳ در ماه ۱۹. تا ماه ۱۱ فقط ۳۰٪ قیمت وصول می‌شود و تا ماه ۱۹ فقط ۷۵٪.</t>
  </si>
  <si>
    <t xml:space="preserve">هزینهٔ توسعه هم فازی شد.</t>
  </si>
  <si>
    <t xml:space="preserve">به‌جای ۴۰ نفر-ماه در ۶ ماه، سه موج توسعه هم‌زمان با سه فاز.</t>
  </si>
  <si>
    <t xml:space="preserve">بستهٔ کامل ۲۳٪ ارزان‌تر از خرید تکه‌تکه است.</t>
  </si>
  <si>
    <t xml:space="preserve">مجموع سهم سه فاز ۱۳۰٪ است؛ بستهٔ کامل ۱۰۰٪. انگیزهٔ بسته‌شدن حلقه.</t>
  </si>
  <si>
    <t xml:space="preserve">چه چیزی در v0.5 عوض شد</t>
  </si>
  <si>
    <t xml:space="preserve">اندازهٔ مرچنت‌ها از ۱۴۰۳ به ۱۴۰۵ آورده شد.</t>
  </si>
  <si>
    <t xml:space="preserve">شاهد صورت مالی برای ۱۴۰۳ است؛ مدل در ۱۴۰۵ اجرا می‌شود. رشد اسمی دو سال اعمال شد (از v0.7 با نرخ ۴۴٪).</t>
  </si>
  <si>
    <t xml:space="preserve">چه چیزی در v0.4 عوض شد</t>
  </si>
  <si>
    <t xml:space="preserve">اندازهٔ سگمنت مگا شاهد عمومی پیدا کرد.</t>
  </si>
  <si>
    <t xml:space="preserve">درآمد عملیاتی گروه دیجی‌کالا در سال مالی ۱۴۰۳: ۳۰٬۴۲۳ میلیارد تومان [دیجیاتو، ۱۰ خرداد ۱۴۰۴].</t>
  </si>
  <si>
    <t xml:space="preserve">کنترل سود خالص مشتری اضافه شد.</t>
  </si>
  <si>
    <t xml:space="preserve">لایسنس ما چند درصد سود خالص مشتری را می‌خورد؟ حاشیهٔ سود خالص دیجی‌کالا زیر ۲٪ است.</t>
  </si>
  <si>
    <t xml:space="preserve">⚠ ابهام باز: قاعدهٔ ۴٪.</t>
  </si>
  <si>
    <t xml:space="preserve">I-05 نگفت ۴٪ از درآمد عملیاتی است یا از GMV — و خود قاعده، سرانگشتی یک نفر با کسب‌وکار کوچک است. این تک‌ورودی، SAM را چند برابر جابه‌جا می‌کند.</t>
  </si>
  <si>
    <t xml:space="preserve">چه چیزی در v0.3 عوض شد</t>
  </si>
  <si>
    <t xml:space="preserve">بازار هدف از پایین به بالا ساخته شد.</t>
  </si>
  <si>
    <t xml:space="preserve">سه سگمنت مرچنت با تعداد مشخص · SAM جمع سگمنت‌هاست، نه درصدی از یک عدد کلان.</t>
  </si>
  <si>
    <t xml:space="preserve">سقف سوم اضافه شد: تعداد مرچنت موجود.</t>
  </si>
  <si>
    <t xml:space="preserve">قیف فروش نمی‌تواند بیشتر از تعداد مرچنت‌های آن سگمنت قرارداد بسازد.</t>
  </si>
  <si>
    <t xml:space="preserve">هر سناریو یک سگمنت هدف دارد.</t>
  </si>
  <si>
    <t xml:space="preserve">بدبین: متوسط · پایه: بزرگ · خوش‌بین: مگا — نه یک «مشتری نماینده» دلبخواه.</t>
  </si>
  <si>
    <t xml:space="preserve">سه سناریو، سه مدل کامل و جدا.</t>
  </si>
  <si>
    <t xml:space="preserve">هر سناریو شیت ۲۴ماههٔ خودش را دارد؛ دیگر لازم نیست مفروضات را دستی عوض کنی.</t>
  </si>
  <si>
    <t xml:space="preserve">نرخ نفر-ماه از حقوق مشتق می‌شود.</t>
  </si>
  <si>
    <t xml:space="preserve">حقوق ناخالص × ضریب سرریز × ترکیب تیم. دیگر یک عدد ادعایی نیست.</t>
  </si>
  <si>
    <t xml:space="preserve">تورم هزینه و رشد فهرست قیمت وارد شد.</t>
  </si>
  <si>
    <t xml:space="preserve">نرخ نفر-ماه سالی ۴۰٪ بالا می‌رود. اگر قیمت با آن بالا نرود، حاشیه می‌ریزد.</t>
  </si>
  <si>
    <t xml:space="preserve">قیمت از اندازهٔ مشتری مشتق می‌شود.</t>
  </si>
  <si>
    <t xml:space="preserve">لایسنس = خرج تبلیغات × سهم عبوری از حلقه × نرخ لایسنس. پله‌ها بستهٔ فروش‌اند، محرک مدل نیستند.</t>
  </si>
  <si>
    <t xml:space="preserve">پشتیبانی On-Premise گران‌تر حساب شد.</t>
  </si>
  <si>
    <t xml:space="preserve">نسخه‌بندی و مدل محلی، ساعت پشتیبانی بیشتری می‌خواهد و سقف ظرفیت را پایین می‌آورد.</t>
  </si>
  <si>
    <t xml:space="preserve">چطور استفاده کنی</t>
  </si>
  <si>
    <t xml:space="preserve">دو شیت قابل ویرایش: «مفروضات مشترک» و «سناریوها».</t>
  </si>
  <si>
    <t xml:space="preserve">بقیه فرمول‌اند.</t>
  </si>
  <si>
    <t xml:space="preserve">سلول زرد = عددی که هنوز نداریم.</t>
  </si>
  <si>
    <t xml:space="preserve">تا پر نشود، خروجی مدل ساختار است نه نتیجه.</t>
  </si>
  <si>
    <t xml:space="preserve">رنگ متن معنا دارد.</t>
  </si>
  <si>
    <t xml:space="preserve">آبی = ورودی دستی · مشکی = فرمول · سبز = ارجاع به شیت دیگر</t>
  </si>
  <si>
    <t xml:space="preserve">اول «مقایسهٔ سناریوها» را ببین.</t>
  </si>
  <si>
    <t xml:space="preserve">همهٔ نتیجه‌ها آنجا کنار هم‌اند.</t>
  </si>
  <si>
    <t xml:space="preserve">هشدار روش‌شناختی — مهم</t>
  </si>
  <si>
    <t xml:space="preserve">سناریوی خوش‌بین، مدل را خیلی راحت سودده می‌کند.</t>
  </si>
  <si>
    <t xml:space="preserve">چون فرض می‌کند مشتری سالی ۲٬۰۰۰ میلیارد تومان تبلیغات خرج می‌کند. این عدد هنوز شاهد ندارد.</t>
  </si>
  <si>
    <t xml:space="preserve">آنچه در دفاع گفته می‌شود، ستون «پایه» است.</t>
  </si>
  <si>
    <t xml:space="preserve">خوش‌بین فقط نشان می‌دهد سقف کجاست، نه اینکه نتیجه چیست.</t>
  </si>
  <si>
    <t xml:space="preserve">اگر یک ورودی مدل را از «جواب نمی‌دهد» به «خیلی راحت» ببرد،</t>
  </si>
  <si>
    <t xml:space="preserve">همان ورودی است که باید اول اثبات شود. اینجا آن ورودی، خرج تبلیغات مشتری است.</t>
  </si>
  <si>
    <t xml:space="preserve">عددهایی که هنوز نداریم</t>
  </si>
  <si>
    <t xml:space="preserve">از کجا می‌آید</t>
  </si>
  <si>
    <t xml:space="preserve">خرج تبلیغات سالانهٔ مشتریان هدف — بازهٔ بی‌نام</t>
  </si>
  <si>
    <t xml:space="preserve">درخواست از اسمارتک — تسک T-05 · مهم‌ترین عدد مدل</t>
  </si>
  <si>
    <t xml:space="preserve">سهم بودجهٔ عبوری از حلقه از کل خرج</t>
  </si>
  <si>
    <t xml:space="preserve">پایلوت · تا آن‌موقع فرض</t>
  </si>
  <si>
    <t xml:space="preserve">نرخ ریزش سالانه</t>
  </si>
  <si>
    <t xml:space="preserve">اسمارتک — تسک T-05</t>
  </si>
  <si>
    <t xml:space="preserve">نفر-روز استقرار و ساعت پشتیبانی واقعی</t>
  </si>
  <si>
    <t xml:space="preserve">اندازه‌گیری در پایلوت</t>
  </si>
  <si>
    <t xml:space="preserve">سرمایهٔ سرور و GPU سمت مشتری</t>
  </si>
  <si>
    <t xml:space="preserve">استعلام از تیم فنی — فقط در TCO مشتری اثر دارد، در سود ما نه</t>
  </si>
  <si>
    <t xml:space="preserve">پذیرش پلهٔ قیمت فصلی ۳۰ تا ۳۵ درصد در سال</t>
  </si>
  <si>
    <t xml:space="preserve">دو مصاحبهٔ خریدار اقتصادی — تسک T-16</t>
  </si>
  <si>
    <t xml:space="preserve">مفروضات مشترک — یکسان در هر سه سناریو</t>
  </si>
  <si>
    <t xml:space="preserve">آنچه بین سناریوها فرق می‌کند در شیت «سناریوها» است.</t>
  </si>
  <si>
    <t xml:space="preserve">پارامتر</t>
  </si>
  <si>
    <t xml:space="preserve">مقدار</t>
  </si>
  <si>
    <t xml:space="preserve">واحد</t>
  </si>
  <si>
    <t xml:space="preserve">برچسب</t>
  </si>
  <si>
    <t xml:space="preserve">منبع یا منطق</t>
  </si>
  <si>
    <t xml:space="preserve">الف) حقوق و نرخ نفر-ماه — تأییدشدهٔ مالک سند، ۲۷ شهریور ۱۴۰۵</t>
  </si>
  <si>
    <t xml:space="preserve">حقوق ناخالص ماهانه — مهندس ارشد</t>
  </si>
  <si>
    <t xml:space="preserve">م.تومان/ماه</t>
  </si>
  <si>
    <t xml:space="preserve">برآورد تیم</t>
  </si>
  <si>
    <t xml:space="preserve">تأیید مالک سند در ۲۷ شهریور ۱۴۰۵</t>
  </si>
  <si>
    <t xml:space="preserve">حقوق ناخالص ماهانه — مهندس یادگیری ماشین</t>
  </si>
  <si>
    <t xml:space="preserve">حقوق ناخالص ماهانه — پشتیبانی و موفقیت مشتری</t>
  </si>
  <si>
    <t xml:space="preserve">ضریب سرریز روی حقوق</t>
  </si>
  <si>
    <t xml:space="preserve">ضریب</t>
  </si>
  <si>
    <t xml:space="preserve">بیمه، فضا، ابزار، مرخصی</t>
  </si>
  <si>
    <t xml:space="preserve">تورم سالانهٔ هزینهٔ نیروی انسانی</t>
  </si>
  <si>
    <t xml:space="preserve">درصد</t>
  </si>
  <si>
    <t xml:space="preserve">تأیید مالک سند؛ روی نرخ نفر-ماه هر سال اعمال می‌شود</t>
  </si>
  <si>
    <t xml:space="preserve">سهم مهندس ارشد در تیم توسعه</t>
  </si>
  <si>
    <t xml:space="preserve">ترکیب سنیوریتی دورهٔ ساخت</t>
  </si>
  <si>
    <t xml:space="preserve">ب) فازبندی عرضه — تصمیم ۳ اصلاح‌شده</t>
  </si>
  <si>
    <t xml:space="preserve">سهم قیمت فاز ۱ (Verifier) از بستهٔ کامل</t>
  </si>
  <si>
    <t xml:space="preserve">کم‌هزینه‌ترین ساخت، ملموس‌ترین ارزش، نقطهٔ ورود کم‌ریسک — I-05</t>
  </si>
  <si>
    <t xml:space="preserve">سهم تجمعی پس از فاز ۲ (+ Designer)</t>
  </si>
  <si>
    <t xml:space="preserve">Designer بیشترین ارزش را دارد: خروجی‌اش خودِ طرح است</t>
  </si>
  <si>
    <t xml:space="preserve">سهم تجمعی پس از فاز ۳ (+ Simulator)</t>
  </si>
  <si>
    <t xml:space="preserve">بستهٔ کامل = مبنای ۱۰۰٪</t>
  </si>
  <si>
    <t xml:space="preserve">ماه عرضهٔ فاز ۱</t>
  </si>
  <si>
    <t xml:space="preserve">ماه</t>
  </si>
  <si>
    <t xml:space="preserve">پنج ماه ساخت، عرضه در ماه ۶</t>
  </si>
  <si>
    <t xml:space="preserve">ماه عرضهٔ فاز ۲</t>
  </si>
  <si>
    <t xml:space="preserve">هفت ماه پس از فاز ۱</t>
  </si>
  <si>
    <t xml:space="preserve">ماه عرضهٔ فاز ۳</t>
  </si>
  <si>
    <t xml:space="preserve">سنگین‌ترین ساخت — I-05: پیچیدگی فنی بالا</t>
  </si>
  <si>
    <t xml:space="preserve">ج) ساخت و تیم</t>
  </si>
  <si>
    <t xml:space="preserve">نفر-ماه توسعه فاز ۱</t>
  </si>
  <si>
    <t xml:space="preserve">نفر-ماه</t>
  </si>
  <si>
    <t xml:space="preserve">کارت راستی‌آزمایی با ورود دستی پیش‌بینی</t>
  </si>
  <si>
    <t xml:space="preserve">نفر-ماه توسعه فاز ۲</t>
  </si>
  <si>
    <t xml:space="preserve">سنگین‌ترین جزء ارزش</t>
  </si>
  <si>
    <t xml:space="preserve">نفر-ماه توسعه فاز ۳</t>
  </si>
  <si>
    <t xml:space="preserve">موتور شبیه‌سازی — سند محصول ۲ §۵.۷.۱</t>
  </si>
  <si>
    <t xml:space="preserve">مدت هر موج توسعه</t>
  </si>
  <si>
    <t xml:space="preserve">هر فاز پنج ماه پیش از عرضه‌اش ساخته می‌شود</t>
  </si>
  <si>
    <t xml:space="preserve">ماه شروع فروش</t>
  </si>
  <si>
    <t xml:space="preserve">هم‌زمان با عرضهٔ فاز ۱</t>
  </si>
  <si>
    <t xml:space="preserve">سهم زمان تیم نگهداشت که به پشتیبانی مشتری می‌رسد</t>
  </si>
  <si>
    <t xml:space="preserve">بقیه صرف رفع اشکال و نسخهٔ بعدی می‌شود</t>
  </si>
  <si>
    <t xml:space="preserve">د) استقرار و ظرفیت</t>
  </si>
  <si>
    <t xml:space="preserve">ظرفیت استقرار هم‌زمان</t>
  </si>
  <si>
    <t xml:space="preserve">مشتری</t>
  </si>
  <si>
    <t xml:space="preserve">شاهد</t>
  </si>
  <si>
    <t xml:space="preserve">سند محصول ۲ §۵.۶ و محصول ۳ §۵.۶</t>
  </si>
  <si>
    <t xml:space="preserve">مدت استقرار هر مشتری</t>
  </si>
  <si>
    <t xml:space="preserve">فرض اثبات‌نشده</t>
  </si>
  <si>
    <t xml:space="preserve">نفر-روز استقرار هر مشتری</t>
  </si>
  <si>
    <t xml:space="preserve">نفر-روز</t>
  </si>
  <si>
    <t xml:space="preserve">درآمد استقرار — ابری</t>
  </si>
  <si>
    <t xml:space="preserve">م.تومان یک‌باره</t>
  </si>
  <si>
    <t xml:space="preserve">برآورد تیم؛ آزمون در پایلوت</t>
  </si>
  <si>
    <t xml:space="preserve">درآمد استقرار — On-Premise</t>
  </si>
  <si>
    <t xml:space="preserve">نفر-روز بیشتر؛ سرور از سمت مرچنت</t>
  </si>
  <si>
    <t xml:space="preserve">سهم مشتریان On-Premise</t>
  </si>
  <si>
    <t xml:space="preserve">I-04: دادهٔ هش‌شده و حساسیت امنیتی</t>
  </si>
  <si>
    <t xml:space="preserve">ه) پشتیبانی و زیرساخت</t>
  </si>
  <si>
    <t xml:space="preserve">نفر-ساعت پشتیبانی ماهانه — مشتری ابری</t>
  </si>
  <si>
    <t xml:space="preserve">نفر-ساعت</t>
  </si>
  <si>
    <t xml:space="preserve">جزء H فرمول Cvar سند محصول ۳</t>
  </si>
  <si>
    <t xml:space="preserve">نفر-ساعت پشتیبانی ماهانه — مشتری On-Premise</t>
  </si>
  <si>
    <t xml:space="preserve">نسخه‌بندی و مدل محلی، بار بیشتری دارد</t>
  </si>
  <si>
    <t xml:space="preserve">نفر-ساعت پشتیبانی اضافی به‌ازای هر ۱۰۰ میلیارد خرج مشتری</t>
  </si>
  <si>
    <t xml:space="preserve">نفر-ساعت/ماه</t>
  </si>
  <si>
    <t xml:space="preserve">مشتری بزرگ‌تر خدمت بیشتری می‌خواهد — SLA، مدیر حساب، کار سفارشی</t>
  </si>
  <si>
    <t xml:space="preserve">هزینهٔ زیرساخت ماهانه — مشتری ابری</t>
  </si>
  <si>
    <t xml:space="preserve">م.تومان</t>
  </si>
  <si>
    <t xml:space="preserve">هزینهٔ زیرساخت ماهانه — مشتری On-Premise</t>
  </si>
  <si>
    <t xml:space="preserve">سرور از سمت مرچنت تأمین می‌شود</t>
  </si>
  <si>
    <t xml:space="preserve">هزینهٔ جذب و فروش هر قرارداد (CAC)</t>
  </si>
  <si>
    <t xml:space="preserve">و) ترجمهٔ اندازهٔ مشتری به گردش مالی — قاعدهٔ I-05</t>
  </si>
  <si>
    <t xml:space="preserve">سهم بازاریابی از گردش مالی مرچنت</t>
  </si>
  <si>
    <t xml:space="preserve">گفتهٔ مشارکت‌کننده</t>
  </si>
  <si>
    <t xml:space="preserve">I-05، ۲۷ شهریور ۱۴۰۵ — شامل هزینهٔ افراد تیم بازاریابی · نیازمند کنترل با منبع دوم</t>
  </si>
  <si>
    <t xml:space="preserve">رشد اسمی سالانهٔ گردش مالی مرچنت</t>
  </si>
  <si>
    <t xml:space="preserve">گزارش سالانهٔ دیجی‌کالا ۱۴۰۴ — میانگین فروش سالانهٔ هر فروشنده: ۵۸۸ م.ت (۱۴۰۲) ← ۸۳۱ (۱۴۰۳) ← ۱٫۲ میلیارد (۱۴۰۴)؛ یعنی ۴۱٪ و ۴۴٪. همین سری واحدِ مدل است: گردش مالی یک مرچنت. کران بالا: رشد ارزش کالاهای فروخته‌شده ۵۶٪ در همان گزارش.</t>
  </si>
  <si>
    <t xml:space="preserve">تعداد سال تبدیل از ۱۴۰۳ به سال مدل</t>
  </si>
  <si>
    <t xml:space="preserve">سال</t>
  </si>
  <si>
    <t xml:space="preserve">۱۴۰۳ → ۱۴۰۵</t>
  </si>
  <si>
    <t xml:space="preserve">حاشیهٔ سود خالص مرچنت</t>
  </si>
  <si>
    <t xml:space="preserve">گروه دیجی‌کالا ۱۴۰۳: سود خالص ۵۳۸ از درآمد ۳۰٬۴۲۳ میلیارد — کمتر از ۲٪ [دیجیاتو، ۱۰ خرداد ۱۴۰۴]</t>
  </si>
  <si>
    <t xml:space="preserve">سهم خرج رسانه از پاکت بازاریابی</t>
  </si>
  <si>
    <t xml:space="preserve">بقیهٔ پاکت: حقوق تیم، تولید محتوا، ابزار · آزمون در T-16</t>
  </si>
  <si>
    <t xml:space="preserve">ز) سمت مشتری — فقط در TCO مشتری، نه در سود ما</t>
  </si>
  <si>
    <t xml:space="preserve">⚠ استعلام از تیم فنی لازم است — عدد فعلی جانشین است</t>
  </si>
  <si>
    <t xml:space="preserve">عمر مفید سرور</t>
  </si>
  <si>
    <t xml:space="preserve">برای سرشکن‌کردن در TCO</t>
  </si>
  <si>
    <t xml:space="preserve">نرخ نفر-ماه — مشتق از حقوق بالا</t>
  </si>
  <si>
    <t xml:space="preserve">ردیف</t>
  </si>
  <si>
    <t xml:space="preserve">فرمول</t>
  </si>
  <si>
    <t xml:space="preserve">نرخ نفر-ماه تیم توسعه</t>
  </si>
  <si>
    <t xml:space="preserve">م.تومان/نفر-ماه</t>
  </si>
  <si>
    <t xml:space="preserve">(ارشد×سهم + ML×بقیه) × ضریب سرریز</t>
  </si>
  <si>
    <t xml:space="preserve">نرخ نفر-ماه تیم نگهداشت</t>
  </si>
  <si>
    <t xml:space="preserve">میانگین سه نقش × ضریب سرریز</t>
  </si>
  <si>
    <t xml:space="preserve">توجه</t>
  </si>
  <si>
    <t xml:space="preserve">هزینهٔ ثابت این مدل فقط تیم نگهداشت است. فروش در CAC و استقرار در هزینهٔ استقرار حساب شده‌اند تا دوباره‌شماری نشود.</t>
  </si>
  <si>
    <t xml:space="preserve">سه سناریو — تفاوت در سطح محرک، نه در درصد رشد</t>
  </si>
  <si>
    <t xml:space="preserve">هر ستون یک روایت کامل است. سناریوی بد فقط «مشتری کمتر» نیست؛ نگهداشت سنگین‌تر و قیمت‌پذیری کمتر هم دارد.</t>
  </si>
  <si>
    <t xml:space="preserve">محرک</t>
  </si>
  <si>
    <t xml:space="preserve">بدبین</t>
  </si>
  <si>
    <t xml:space="preserve">پایه</t>
  </si>
  <si>
    <t xml:space="preserve">خوش‌بین</t>
  </si>
  <si>
    <t xml:space="preserve">روایتی که این ستون را می‌سازد</t>
  </si>
  <si>
    <t xml:space="preserve">الف) سگمنت هدف و قیمت</t>
  </si>
  <si>
    <t xml:space="preserve">خرج تبلیغات سالانهٔ مشتری نماینده</t>
  </si>
  <si>
    <t xml:space="preserve">بدبین: سگمنت متوسط · پایه: سگمنت بزرگ · خوش‌بین: سگمنت مگا — از شیت بازار هدف</t>
  </si>
  <si>
    <t xml:space="preserve">تعداد مرچنت موجود در سگمنت هدف</t>
  </si>
  <si>
    <t xml:space="preserve">سقف سوم مدل: قیف نمی‌تواند بیشتر از تعداد موجود قرارداد بسازد</t>
  </si>
  <si>
    <t xml:space="preserve">سهم بودجهٔ عبوری از حلقه</t>
  </si>
  <si>
    <t xml:space="preserve">فقط بودجهٔ کمپین‌هایی که طرحشان از ایستگاه ۱ بیرون آمده</t>
  </si>
  <si>
    <t xml:space="preserve">نرخ لایسنس از بودجهٔ عبوری</t>
  </si>
  <si>
    <t xml:space="preserve">کنترل متقابل: معادلش از کل خرج، زیر سقف ۳–۵٪ اعلام‌شدهٔ I-03 بماند</t>
  </si>
  <si>
    <t xml:space="preserve">رشد سالانهٔ فهرست قیمت</t>
  </si>
  <si>
    <t xml:space="preserve">گفتهٔ مشارکت‌کننده I-05 (۳۱ شهریور ۱۴۰۵): لایسنس ابزارهای داخلی در قرارداد سالانه معمولا ۳۰ تا ۳۵ درصد در سال افزایش می‌یابد. هر سه سناریو درون همین بازه‌اند: کف، میانه، سقف. تورم هزینه ۴۰٪ است، پس حاشیه هر سال فشرده می‌شود</t>
  </si>
  <si>
    <t xml:space="preserve">ب) قیف فروش</t>
  </si>
  <si>
    <t xml:space="preserve">لید واجد شرایط در ماه</t>
  </si>
  <si>
    <t xml:space="preserve">دسترسی به مشتریان فعلی و معرفی مدیر حساب</t>
  </si>
  <si>
    <t xml:space="preserve">نرخ تبدیل لید به جلسهٔ ارزیابی</t>
  </si>
  <si>
    <t xml:space="preserve">اعتماد انباشتهٔ اینترک</t>
  </si>
  <si>
    <t xml:space="preserve">نرخ تبدیل جلسه به قرارداد</t>
  </si>
  <si>
    <t xml:space="preserve">محرک پرحساسیت — نتیجهٔ پایلوت تعیینش می‌کند</t>
  </si>
  <si>
    <t xml:space="preserve">طول چرخهٔ فروش</t>
  </si>
  <si>
    <t xml:space="preserve">On-Premise امضاکنندهٔ IT اضافه می‌کند و چرخه را طولانی‌تر می‌کند</t>
  </si>
  <si>
    <t xml:space="preserve">لازم از T-05</t>
  </si>
  <si>
    <t xml:space="preserve">ج) هزینهٔ ثابت</t>
  </si>
  <si>
    <t xml:space="preserve">تعداد نفرات تیم نگهداشت پس از عرضه</t>
  </si>
  <si>
    <t xml:space="preserve">بدبین: محصول بیشتر از انتظار نگهداری می‌خواهد</t>
  </si>
  <si>
    <t xml:space="preserve">چرا سناریوی بد این شکل است</t>
  </si>
  <si>
    <t xml:space="preserve">اگر در سناریوی بد فقط تعداد مشتری را کم کنیم و قیمت و هزینه را دست‌نخورده بگذاریم، سناریوی بد صادقانه نیست. واقعیت سناریوی بد این است: مشتری کوچک‌تر، محصول پرنگهداری‌تر، و مقاومت در برابر تعدیل سالانهٔ قیمت.</t>
  </si>
  <si>
    <t xml:space="preserve">بازار هدف — از پایین به بالا، سگمنت به سگمنت</t>
  </si>
  <si>
    <t xml:space="preserve">واحد گردش مالی: همت (هزار میلیارد تومان) · واحد لایسنس و SAM: میلیون تومان · قیمت‌گذاری این شیت با پارامترهای سناریوی «پایه» حساب شده.</t>
  </si>
  <si>
    <t xml:space="preserve">سگمنت</t>
  </si>
  <si>
    <t xml:space="preserve">اندازه در ۱۴۰۳ (همت)</t>
  </si>
  <si>
    <t xml:space="preserve">اندازه در ۱۴۰۵ (همت)</t>
  </si>
  <si>
    <t xml:space="preserve">تعداد مرچنت</t>
  </si>
  <si>
    <t xml:space="preserve">خرج تبلیغات سالانه (میلیارد)</t>
  </si>
  <si>
    <t xml:space="preserve">لایسنس سالانه</t>
  </si>
  <si>
    <t xml:space="preserve">نفر-ساعت پشتیبانی/ماه</t>
  </si>
  <si>
    <t xml:space="preserve">SAM سگمنت</t>
  </si>
  <si>
    <t xml:space="preserve">نفر لازم برای پوشش</t>
  </si>
  <si>
    <t xml:space="preserve">لایسنس ÷ سود خالص</t>
  </si>
  <si>
    <t xml:space="preserve">شاهد و برچسب</t>
  </si>
  <si>
    <t xml:space="preserve">مگا</t>
  </si>
  <si>
    <t xml:space="preserve">⭐ شاهد: درآمد عملیاتی گروه دیجی‌کالا در سال مالی ۱۴۰۳ = ۳۰٬۴۲۳ میلیارد تومان [دیجیاتو، ۱۰ خرداد ۱۴۰۴]</t>
  </si>
  <si>
    <t xml:space="preserve">بزرگ</t>
  </si>
  <si>
    <t xml:space="preserve">تعداد: گفتهٔ مالک سند — «دست‌کم ۸ تا ۱۲ مرچنت بزرگ» · اندازهٔ نماینده: فرض اثبات‌نشده</t>
  </si>
  <si>
    <t xml:space="preserve">متوسط</t>
  </si>
  <si>
    <t xml:space="preserve">فرض اثبات‌نشده — کنترل با شاهد داشبورد: مشتریان پولی ادتریس ۷۰ تا ۸۰ [گفتهٔ مشارکت‌کننده، مرداد ۱۴۰۵]</t>
  </si>
  <si>
    <t xml:space="preserve">جمع بازار هدف</t>
  </si>
  <si>
    <t xml:space="preserve">SAM = جمع (تعداد مرچنت × لایسنس آن سگمنت) — نه درصدی از یک عدد کلان</t>
  </si>
  <si>
    <t xml:space="preserve">آنچه این جدول می‌گوید</t>
  </si>
  <si>
    <t xml:space="preserve">SAM سالانه — کل بازار هدف</t>
  </si>
  <si>
    <t xml:space="preserve">اگر همهٔ مرچنت‌های واجد شرایط خریدار شوند</t>
  </si>
  <si>
    <t xml:space="preserve">SAM بدون سگمنت متوسط</t>
  </si>
  <si>
    <t xml:space="preserve">محافظه‌کارانه‌تر: فقط مگا و بزرگ</t>
  </si>
  <si>
    <t xml:space="preserve">نفر لازم برای پوشش کل بازار هدف</t>
  </si>
  <si>
    <t xml:space="preserve">⚠ نقشهٔ رشد این خط، نقشهٔ استخدام است</t>
  </si>
  <si>
    <t xml:space="preserve">سهم مگا از کل SAM</t>
  </si>
  <si>
    <t xml:space="preserve">اگر بالای ۴۰٪ باشد، ریسک تمرکز جدی است</t>
  </si>
  <si>
    <t xml:space="preserve">حداقل گردش مالی برای ورود به ICP</t>
  </si>
  <si>
    <t xml:space="preserve">همت — هر سگمنتی زیر این عدد، در ICP نیست</t>
  </si>
  <si>
    <t xml:space="preserve">قاعدهٔ ترجمه</t>
  </si>
  <si>
    <t xml:space="preserve">خرج تبلیغات سالانه = گردش مالی × ۴٪ (سهم بازاریابی، شامل حقوق تیم — گفتهٔ I-05) × ۷۰٪ (سهم رسانه از پاکت — فرض اثبات‌نشده)</t>
  </si>
  <si>
    <t xml:space="preserve">⚠ ابهام باز و مهم: I-05 نگفت ۴٪ از «درآمد عملیاتی» است یا از «ارزش کل معاملات (GMV)». این جدول مبنا را درآمد عملیاتی گرفته، چون تنها عدد حسابرسی‌شدهٔ عمومی همان است. اگر مبنا GMV باشد، همهٔ لایسنس‌ها و SAM حدود ۲.۶ برابر می‌شوند.</t>
  </si>
  <si>
    <t xml:space="preserve">اقتصاد واحد — به‌ازای یک مشتری، در هر سه سناریو</t>
  </si>
  <si>
    <t xml:space="preserve">واحد در این مدل = یک شرکت تبلیغ‌کننده با قرارداد فعال. اعداد سال اول‌اند؛ اثر تورم در شیت‌های ۲۴ماهه می‌آید.</t>
  </si>
  <si>
    <t xml:space="preserve">فرمول یا منبع</t>
  </si>
  <si>
    <t xml:space="preserve">درآمد</t>
  </si>
  <si>
    <t xml:space="preserve">خرج تبلیغات سالانهٔ مشتری</t>
  </si>
  <si>
    <t xml:space="preserve">از شیت سناریوها — میلیارد تومان</t>
  </si>
  <si>
    <t xml:space="preserve">بودجهٔ عبوری از حلقه — سالانه</t>
  </si>
  <si>
    <t xml:space="preserve">خرج سالانه (میلیارد) × ۱۰۰۰ × سهم عبوری</t>
  </si>
  <si>
    <t xml:space="preserve">لایسنس سالانه (ARPA)</t>
  </si>
  <si>
    <t xml:space="preserve">بودجهٔ عبوری × نرخ لایسنس</t>
  </si>
  <si>
    <t xml:space="preserve">معادل درصد از کل خرج تبلیغات مشتری</t>
  </si>
  <si>
    <t xml:space="preserve">کنترل متقابل — نه فرمول قیمت</t>
  </si>
  <si>
    <t xml:space="preserve">کنترل در برابر شاهد تمایل به پرداخت</t>
  </si>
  <si>
    <t xml:space="preserve">I-04: ۱.۶٪ · I-03: سقف ۳ تا ۵٪</t>
  </si>
  <si>
    <t xml:space="preserve">لایسنس ماهانه</t>
  </si>
  <si>
    <t xml:space="preserve">ARPA ÷ ۱۲</t>
  </si>
  <si>
    <t xml:space="preserve">درآمد استقرار — میانگین وزنی</t>
  </si>
  <si>
    <t xml:space="preserve">On-Prem × سهمش + ابری × بقیه</t>
  </si>
  <si>
    <t xml:space="preserve">هزینهٔ متغیر</t>
  </si>
  <si>
    <t xml:space="preserve">نفر-ساعت پشتیبانی پایه — میانگین وزنی</t>
  </si>
  <si>
    <t xml:space="preserve">On-Prem بار پشتیبانی بیشتری دارد</t>
  </si>
  <si>
    <t xml:space="preserve">نفر-ساعت پشتیبانی ماهانه — میانگین وزنی</t>
  </si>
  <si>
    <t xml:space="preserve">پایه + مقیاس‌پذیر با اندازهٔ مشتری</t>
  </si>
  <si>
    <t xml:space="preserve">هزینهٔ پشتیبانی ماهانه</t>
  </si>
  <si>
    <t xml:space="preserve">نفر-ساعت ÷ ۱۶۰ × نرخ نفر-ماه نگهداشت</t>
  </si>
  <si>
    <t xml:space="preserve">هزینهٔ زیرساخت ماهانه — میانگین وزنی</t>
  </si>
  <si>
    <t xml:space="preserve">On-Prem سرور از مرچنت است، پس هزینهٔ ما کمتر</t>
  </si>
  <si>
    <t xml:space="preserve">جمع هزینهٔ متغیر ماهانه</t>
  </si>
  <si>
    <t xml:space="preserve">پشتیبانی + زیرساخت</t>
  </si>
  <si>
    <t xml:space="preserve">حاشیه</t>
  </si>
  <si>
    <t xml:space="preserve">حاشیهٔ مشارکت ماهانه</t>
  </si>
  <si>
    <t xml:space="preserve">لایسنس ماهانه − هزینهٔ متغیر ماهانه</t>
  </si>
  <si>
    <t xml:space="preserve">حاشیهٔ مشارکت — درصد</t>
  </si>
  <si>
    <t xml:space="preserve">هدف سند محصول ۲: حداقل ۵۰٪</t>
  </si>
  <si>
    <t xml:space="preserve">کنترل هدف حاشیه</t>
  </si>
  <si>
    <t xml:space="preserve">گیت عددی</t>
  </si>
  <si>
    <t xml:space="preserve">حداقل خرج تبلیغات مشتری برای حاشیهٔ ۵۰٪</t>
  </si>
  <si>
    <t xml:space="preserve">⚠ همین عدد، آستانهٔ ICP است — میلیارد تومان در سال</t>
  </si>
  <si>
    <t xml:space="preserve">گردش مالی متناظر مشتری این سناریو</t>
  </si>
  <si>
    <t xml:space="preserve">خرج رسانه ÷ سهم رسانه از پاکت ÷ ۴٪ — میلیارد تومان</t>
  </si>
  <si>
    <t xml:space="preserve">گردش مالی حداقلی برای ورود به ICP</t>
  </si>
  <si>
    <t xml:space="preserve">⚠ شاخص غربال فروش — از خرج تبلیغات راحت‌تر پرسیده می‌شود</t>
  </si>
  <si>
    <t xml:space="preserve">آیا مشتری این سناریو از آستانه بزرگ‌تر است</t>
  </si>
  <si>
    <t xml:space="preserve">اگر «نه» باشد، آن مشتری در ICP نیست</t>
  </si>
  <si>
    <t xml:space="preserve">بازگشت سرمایه</t>
  </si>
  <si>
    <t xml:space="preserve">هزینهٔ استقرار برای ما</t>
  </si>
  <si>
    <t xml:space="preserve">نفر-روز ÷ ۲۲ × نرخ نفر-ماه</t>
  </si>
  <si>
    <t xml:space="preserve">سود خالص استقرار</t>
  </si>
  <si>
    <t xml:space="preserve">درآمد استقرار − هزینهٔ استقرار</t>
  </si>
  <si>
    <t xml:space="preserve">CAC</t>
  </si>
  <si>
    <t xml:space="preserve">از مفروضات مشترک</t>
  </si>
  <si>
    <t xml:space="preserve">سرمایهٔ اولیهٔ هر مشتری</t>
  </si>
  <si>
    <t xml:space="preserve">CAC − سود خالص استقرار</t>
  </si>
  <si>
    <t xml:space="preserve">دورهٔ بازگشت</t>
  </si>
  <si>
    <t xml:space="preserve">سرمایهٔ اولیه ÷ حاشیهٔ ماهانه</t>
  </si>
  <si>
    <t xml:space="preserve">ارزش طول عمر (LTV)</t>
  </si>
  <si>
    <t xml:space="preserve">حاشیهٔ سالانه ÷ نرخ ریزش</t>
  </si>
  <si>
    <t xml:space="preserve">نسبت LTV به CAC</t>
  </si>
  <si>
    <t xml:space="preserve">زیر ۳ برابر هشدار است</t>
  </si>
  <si>
    <t xml:space="preserve">کنترل معناداری LTV/CAC</t>
  </si>
  <si>
    <t xml:space="preserve">فروش B2B با تعداد مشتری کم، LTV/CAC را بی‌معنی بزرگ می‌کند</t>
  </si>
  <si>
    <t xml:space="preserve">هزینهٔ کل مالکیت مشتری (TCO) — سمت او، نه سود ما</t>
  </si>
  <si>
    <t xml:space="preserve">سرمایهٔ سرور و GPU مشتری — سرشکن سالانه</t>
  </si>
  <si>
    <t xml:space="preserve">فقط برای مشتری On-Premise · وزن‌دار به سهمش</t>
  </si>
  <si>
    <t xml:space="preserve">TCO سالانهٔ مشتری</t>
  </si>
  <si>
    <t xml:space="preserve">لایسنس + استقرار + سرشکن سرور خودش</t>
  </si>
  <si>
    <t xml:space="preserve">TCO به‌عنوان درصد از خرج تبلیغات</t>
  </si>
  <si>
    <t xml:space="preserve">این عددی است که مشتری با آن تصمیم می‌گیرد، نه لایسنس تنها</t>
  </si>
  <si>
    <t xml:space="preserve">مدل ۲۴ماهه — سناریوی بدبین</t>
  </si>
  <si>
    <t xml:space="preserve">واحد: میلیون تومان · قرارداد جدید هر ماه به ظرفیت آزاد استقرار محدود است · ضریب تورم و ضریب قیمت هر ۱۲ ماه یک پله بالا می‌روند.</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</si>
  <si>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</si>
  <si>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</si>
  <si>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</si>
  <si>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</si>
  <si>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</si>
  <si>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</si>
  <si>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</si>
  <si>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</si>
  <si>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</si>
  <si>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</si>
  <si>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</si>
  <si>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</si>
  <si>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</si>
  <si>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</si>
  <si>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</si>
  <si>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</si>
  <si>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</si>
  <si>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</si>
  <si>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</si>
  <si>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</si>
  <si>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</si>
  <si>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</si>
  <si>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</si>
  <si>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</si>
  <si>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ضرایب زمانی</t>
  </si>
  <si>
    <t xml:space="preserve">ضریب تورم هزینه</t>
  </si>
  <si>
    <t xml:space="preserve">ضریب فهرست قیمت</t>
  </si>
  <si>
    <t xml:space="preserve">ضریب فاز — سهم عرضه‌شده از بستهٔ کامل</t>
  </si>
  <si>
    <t xml:space="preserve">قیف فروش</t>
  </si>
  <si>
    <t xml:space="preserve">لید واجد شرایط</t>
  </si>
  <si>
    <t xml:space="preserve">جلسهٔ ارزیابی</t>
  </si>
  <si>
    <t xml:space="preserve">قرارداد بالقوه (پس از چرخهٔ فروش)</t>
  </si>
  <si>
    <t xml:space="preserve">ظرفیت و قرارداد</t>
  </si>
  <si>
    <t xml:space="preserve">ظرفیت آزاد استقرار</t>
  </si>
  <si>
    <t xml:space="preserve">سقف مشتری از ظرفیت پشتیبانی</t>
  </si>
  <si>
    <t xml:space="preserve">قرارداد جدید (محدود به ظرفیت)</t>
  </si>
  <si>
    <t xml:space="preserve">قرارداد فعال (تجمعی، پس از ریزش)</t>
  </si>
  <si>
    <t xml:space="preserve">درآمد لایسنس</t>
  </si>
  <si>
    <t xml:space="preserve">درآمد استقرار</t>
  </si>
  <si>
    <t xml:space="preserve">درآمد کل</t>
  </si>
  <si>
    <t xml:space="preserve">هزینه</t>
  </si>
  <si>
    <t xml:space="preserve">هزینهٔ توسعه</t>
  </si>
  <si>
    <t xml:space="preserve">هزینهٔ استقرار</t>
  </si>
  <si>
    <t xml:space="preserve">هزینهٔ متغیر مشتریان</t>
  </si>
  <si>
    <t xml:space="preserve">هزینهٔ فروش و جذب</t>
  </si>
  <si>
    <t xml:space="preserve">هزینهٔ نگهداشت تیم</t>
  </si>
  <si>
    <t xml:space="preserve">هزینهٔ کل</t>
  </si>
  <si>
    <t xml:space="preserve">نتیجه — چهار مفهوم جدا</t>
  </si>
  <si>
    <t xml:space="preserve">حاشیهٔ مشارکت</t>
  </si>
  <si>
    <t xml:space="preserve">سود عملیاتی</t>
  </si>
  <si>
    <t xml:space="preserve">جریان نقدی تجمعی</t>
  </si>
  <si>
    <t xml:space="preserve">مدل ۲۴ماهه — سناریوی پایه</t>
  </si>
  <si>
    <t xml:space="preserve">مدل ۲۴ماهه — سناریوی خوش‌بین</t>
  </si>
  <si>
    <t xml:space="preserve">مقایسهٔ سه سناریو — همهٔ نتیجه‌ها کنار هم</t>
  </si>
  <si>
    <t xml:space="preserve">آنچه در دفاع گفته می‌شود ستون «پایه» است. خوش‌بین سقف را نشان می‌دهد، نه نتیجه را.</t>
  </si>
  <si>
    <t xml:space="preserve">شاخص</t>
  </si>
  <si>
    <t xml:space="preserve">توضیح</t>
  </si>
  <si>
    <t xml:space="preserve">اقتصاد واحد</t>
  </si>
  <si>
    <t xml:space="preserve">لایسنس سالانهٔ هر مشتری</t>
  </si>
  <si>
    <t xml:space="preserve">خرج × سهم عبوری × نرخ لایسنس</t>
  </si>
  <si>
    <t xml:space="preserve">معادل درصد از کل خرج تبلیغات</t>
  </si>
  <si>
    <t xml:space="preserve">کنترل در برابر I-04 و I-03</t>
  </si>
  <si>
    <t xml:space="preserve">هدف: ≥ ۵۰٪</t>
  </si>
  <si>
    <t xml:space="preserve">زیر ۳ هشدار است</t>
  </si>
  <si>
    <t xml:space="preserve">درآمد و سود</t>
  </si>
  <si>
    <t xml:space="preserve">درآمد سال اول</t>
  </si>
  <si>
    <t xml:space="preserve">ماه ۱ تا ۱۲</t>
  </si>
  <si>
    <t xml:space="preserve">درآمد سال دوم</t>
  </si>
  <si>
    <t xml:space="preserve">ماه ۱۳ تا ۲۴</t>
  </si>
  <si>
    <t xml:space="preserve">سود عملیاتی سال دوم</t>
  </si>
  <si>
    <t xml:space="preserve">نخستین ماه با سود عملیاتی مثبت</t>
  </si>
  <si>
    <t xml:space="preserve">ماهی که درآمد از کل هزینه عبور می‌کند</t>
  </si>
  <si>
    <t xml:space="preserve">نقدینگی</t>
  </si>
  <si>
    <t xml:space="preserve">گودال نقدی</t>
  </si>
  <si>
    <t xml:space="preserve">عمیق‌ترین نقطهٔ منفی</t>
  </si>
  <si>
    <t xml:space="preserve">سرمایهٔ موردنیاز</t>
  </si>
  <si>
    <t xml:space="preserve">قدر مطلق گودال نقدی</t>
  </si>
  <si>
    <t xml:space="preserve">سرمایهٔ موردنیاز با حاشیهٔ ۲۰٪</t>
  </si>
  <si>
    <t xml:space="preserve">بافر تأخیر و خطای برآورد</t>
  </si>
  <si>
    <t xml:space="preserve">ظرفیت و سربه‌سر</t>
  </si>
  <si>
    <t xml:space="preserve">قرارداد فعال در ماه ۲۴</t>
  </si>
  <si>
    <t xml:space="preserve">آنچه قیف در ۲۴ ماه می‌سازد</t>
  </si>
  <si>
    <t xml:space="preserve">سقف مشتری از تعداد مرچنت موجود</t>
  </si>
  <si>
    <t xml:space="preserve">سقف بازار — بیشتر از این تعداد مرچنت در آن سگمنت وجود ندارد</t>
  </si>
  <si>
    <t xml:space="preserve">نفرات × سهم زمان پشتیبانی × ۱۶۰ ÷ ساعت هر مشتری</t>
  </si>
  <si>
    <t xml:space="preserve">هزینهٔ ثابت سالانه — سال اول</t>
  </si>
  <si>
    <t xml:space="preserve">نفرات × نرخ نفر-ماه × ۱۲</t>
  </si>
  <si>
    <t xml:space="preserve">هزینهٔ ثابت سالانه — سال دوم</t>
  </si>
  <si>
    <t xml:space="preserve">با تورم ۴۰٪</t>
  </si>
  <si>
    <t xml:space="preserve">حاشیهٔ سالانهٔ هر مشتری — سال دوم</t>
  </si>
  <si>
    <t xml:space="preserve">درآمد با رشد قیمت − هزینهٔ متغیر با تورم</t>
  </si>
  <si>
    <t xml:space="preserve">مشتری لازم برای سربه‌سر — سال دوم</t>
  </si>
  <si>
    <t xml:space="preserve">هزینهٔ ثابت سال دوم ÷ حاشیهٔ سالانهٔ هر مشتری</t>
  </si>
  <si>
    <t xml:space="preserve">حکم</t>
  </si>
  <si>
    <t xml:space="preserve">سه راه اصلاح: قیمت بالاتر، هزینهٔ ثابت کمتر، لید بیشتر</t>
  </si>
  <si>
    <t xml:space="preserve">آزمون پلهٔ قیمت (تصمیم ۹)</t>
  </si>
  <si>
    <t xml:space="preserve">اگر رشد فهرست قیمت صفر شود (قرارداد با قیمت ثابت)، حاشیهٔ سال دوم هر مشتری این می‌شود:</t>
  </si>
  <si>
    <t xml:space="preserve">حاشیهٔ سال دوم با قیمت ثابت</t>
  </si>
  <si>
    <t xml:space="preserve">مقایسه کن با سطر «حاشیهٔ سالانهٔ هر مشتری — سال دوم» بالا</t>
  </si>
  <si>
    <t xml:space="preserve">نتیجهٔ قراردادی</t>
  </si>
  <si>
    <t xml:space="preserve">پلهٔ قیمت فصلی (جمع سالانه ۳۰ تا ۳۵ درصد) باید در قرارداد باشد، وگرنه سال دوم با حاشیهٔ کمتر تحویل می‌شود.</t>
  </si>
  <si>
    <t xml:space="preserve">حساسیت — درآمد پایدار سالانه در سناریوی پایه</t>
  </si>
  <si>
    <t xml:space="preserve">دو محرک مؤثرتر: خرج تبلیغات مشتری، و نرخ تبدیل جلسه به قرارداد. سقف ظرفیت پشتیبانی اعمال شده.</t>
  </si>
  <si>
    <t xml:space="preserve">قرارداد جدید سالانه = لید ماهانه × نرخ لید→جلسه × نرخ جلسه→قرارداد × ۱۲</t>
  </si>
  <si>
    <t xml:space="preserve">قرارداد فعال پایدار = کمینهٔ (سقف پشتیبانی، قرارداد جدید سالانه ÷ نرخ ریزش)</t>
  </si>
  <si>
    <t xml:space="preserve">درآمد پایدار = قرارداد فعال × لایسنس سالانه + قرارداد جدید × درآمد استقرار</t>
  </si>
  <si>
    <t xml:space="preserve">سقف پشتیبانی (مشتری)</t>
  </si>
  <si>
    <t xml:space="preserve">ستون‌ها: خرج تبلیغات سالانهٔ مشتری (میلیارد تومان) · سطرها: نرخ تبدیل جلسه به قرارداد</t>
  </si>
  <si>
    <t xml:space="preserve">نرخ تبدیل ↓ / خرج مشتری →</t>
  </si>
  <si>
    <t xml:space="preserve">50</t>
  </si>
  <si>
    <t xml:space="preserve">150</t>
  </si>
  <si>
    <t xml:space="preserve">300</t>
  </si>
  <si>
    <t xml:space="preserve">800</t>
  </si>
  <si>
    <t xml:space="preserve">2,000</t>
  </si>
  <si>
    <t xml:space="preserve">هزینهٔ ثابت سالانهٔ سال دوم برای مقایسه</t>
  </si>
  <si>
    <t xml:space="preserve">هر خانهٔ جدول بالا که از این عدد کمتر است، سناریوی ضررده است.</t>
  </si>
</sst>
</file>

<file path=xl/styles.xml><?xml version="1.0" encoding="utf-8"?>
<styleSheet xmlns="http://schemas.openxmlformats.org/spreadsheetml/2006/main">
  <numFmts count="6">
    <numFmt numFmtId="164" formatCode="General"/>
    <numFmt numFmtId="165" formatCode="#,##0;\(#,##0\);\-"/>
    <numFmt numFmtId="166" formatCode="#,##0.0"/>
    <numFmt numFmtId="167" formatCode="0.0%"/>
    <numFmt numFmtId="168" formatCode="0.00%"/>
    <numFmt numFmtId="169" formatCode="#,##0"/>
  </numFmts>
  <fonts count="11">
    <font>
      <sz val="11"/>
      <color theme="1"/>
      <name val="Calibri"/>
      <family val="2"/>
      <charset val="1"/>
    </font>
    <font>
      <sz val="10"/>
      <name val="Arial"/>
      <family val="0"/>
    </font>
    <font>
      <sz val="10"/>
      <name val="Arial"/>
      <family val="0"/>
    </font>
    <font>
      <sz val="10"/>
      <name val="Arial"/>
      <family val="0"/>
    </font>
    <font>
      <b val="true"/>
      <sz val="13"/>
      <color rgb="FF1F3864"/>
      <name val="Vazirmatn"/>
      <family val="0"/>
      <charset val="1"/>
    </font>
    <font>
      <sz val="9"/>
      <color rgb="FF666666"/>
      <name val="Vazirmatn"/>
      <family val="0"/>
      <charset val="1"/>
    </font>
    <font>
      <b val="true"/>
      <sz val="11"/>
      <color rgb="FF1F3864"/>
      <name val="Vazirmatn"/>
      <family val="0"/>
      <charset val="1"/>
    </font>
    <font>
      <sz val="10"/>
      <name val="Vazirmatn"/>
      <family val="0"/>
      <charset val="1"/>
    </font>
    <font>
      <b val="true"/>
      <sz val="10"/>
      <name val="Vazirmatn"/>
      <family val="0"/>
      <charset val="1"/>
    </font>
    <font>
      <sz val="10"/>
      <color rgb="FF0000FF"/>
      <name val="Vazirmatn"/>
      <family val="0"/>
      <charset val="1"/>
    </font>
    <font>
      <sz val="10"/>
      <color rgb="FF008000"/>
      <name val="Vazirmatn"/>
      <family val="0"/>
      <charset val="1"/>
    </font>
  </fonts>
  <fills count="6">
    <fill>
      <patternFill patternType="none"/>
    </fill>
    <fill>
      <patternFill patternType="gray125"/>
    </fill>
    <fill>
      <patternFill patternType="solid">
        <fgColor rgb="FFEDF2F7"/>
        <bgColor rgb="FFF7F7F7"/>
      </patternFill>
    </fill>
    <fill>
      <patternFill patternType="solid">
        <fgColor rgb="FFF7F7F7"/>
        <bgColor rgb="FFEDF2F7"/>
      </patternFill>
    </fill>
    <fill>
      <patternFill patternType="solid">
        <fgColor rgb="FFFFFF00"/>
        <bgColor rgb="FFFFFF00"/>
      </patternFill>
    </fill>
    <fill>
      <patternFill patternType="solid">
        <fgColor rgb="FFFDE2E2"/>
        <bgColor rgb="FFEDF2F7"/>
      </patternFill>
    </fill>
  </fills>
  <borders count="2">
    <border diagonalUp="false" diagonalDown="false">
      <left/>
      <right/>
      <top/>
      <bottom/>
      <diagonal/>
    </border>
    <border diagonalUp="false" diagonalDown="false">
      <left/>
      <right/>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center" vertical="center" textRotation="0" wrapText="false" indent="0" shrinkToFit="false"/>
      <protection locked="true" hidden="false"/>
    </xf>
    <xf numFmtId="166" fontId="9" fillId="0" borderId="0" xfId="0" applyFont="true" applyBorder="false" applyAlignment="true" applyProtection="false">
      <alignment horizontal="center" vertical="center" textRotation="0" wrapText="false" indent="0" shrinkToFit="false"/>
      <protection locked="true" hidden="false"/>
    </xf>
    <xf numFmtId="167" fontId="9" fillId="0" borderId="0" xfId="0" applyFont="true" applyBorder="false" applyAlignment="true" applyProtection="false">
      <alignment horizontal="center" vertical="center" textRotation="0" wrapText="false" indent="0" shrinkToFit="false"/>
      <protection locked="true" hidden="false"/>
    </xf>
    <xf numFmtId="166" fontId="9" fillId="4" borderId="0" xfId="0" applyFont="true" applyBorder="false" applyAlignment="true" applyProtection="false">
      <alignment horizontal="center" vertical="center" textRotation="0" wrapText="false" indent="0" shrinkToFit="false"/>
      <protection locked="true" hidden="false"/>
    </xf>
    <xf numFmtId="167" fontId="9" fillId="4" borderId="0" xfId="0" applyFont="true" applyBorder="false" applyAlignment="true" applyProtection="false">
      <alignment horizontal="center" vertical="center" textRotation="0" wrapText="false" indent="0" shrinkToFit="false"/>
      <protection locked="true" hidden="false"/>
    </xf>
    <xf numFmtId="165" fontId="9" fillId="4" borderId="0" xfId="0" applyFont="true" applyBorder="false" applyAlignment="true" applyProtection="false">
      <alignment horizontal="center" vertical="center" textRotation="0" wrapText="false" indent="0" shrinkToFit="false"/>
      <protection locked="true" hidden="false"/>
    </xf>
    <xf numFmtId="165" fontId="8"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true" applyAlignment="true" applyProtection="false">
      <alignment horizontal="right" vertical="center" textRotation="0" wrapText="false" indent="0" shrinkToFit="false"/>
      <protection locked="true" hidden="false"/>
    </xf>
    <xf numFmtId="165" fontId="10" fillId="0" borderId="0" xfId="0" applyFont="true" applyBorder="false" applyAlignment="true" applyProtection="false">
      <alignment horizontal="right" vertical="center"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6" fontId="8" fillId="0" borderId="0" xfId="0" applyFont="true" applyBorder="false" applyAlignment="true" applyProtection="false">
      <alignment horizontal="right" vertical="center"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6" fontId="7" fillId="0" borderId="0" xfId="0" applyFont="true" applyBorder="false" applyAlignment="true" applyProtection="false">
      <alignment horizontal="right" vertical="center" textRotation="0" wrapText="false" indent="0" shrinkToFit="false"/>
      <protection locked="true" hidden="false"/>
    </xf>
    <xf numFmtId="167" fontId="8"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true" applyAlignment="true" applyProtection="false">
      <alignment horizontal="right" vertical="center" textRotation="0" wrapText="false" indent="0" shrinkToFit="false"/>
      <protection locked="true" hidden="false"/>
    </xf>
    <xf numFmtId="164" fontId="7" fillId="0" borderId="0" xfId="0" applyFont="true" applyBorder="true" applyAlignment="true" applyProtection="false">
      <alignment horizontal="right" vertical="center" textRotation="0" wrapText="false" indent="0" shrinkToFit="false"/>
      <protection locked="true" hidden="false"/>
    </xf>
    <xf numFmtId="168" fontId="7" fillId="0" borderId="0" xfId="0" applyFont="true" applyBorder="false" applyAlignment="true" applyProtection="false">
      <alignment horizontal="right" vertical="center" textRotation="0" wrapText="false" indent="0" shrinkToFit="false"/>
      <protection locked="true" hidden="false"/>
    </xf>
    <xf numFmtId="167" fontId="7" fillId="0" borderId="0" xfId="0" applyFont="true" applyBorder="false" applyAlignment="true" applyProtection="false">
      <alignment horizontal="right" vertical="center" textRotation="0" wrapText="false" indent="0" shrinkToFit="false"/>
      <protection locked="true" hidden="false"/>
    </xf>
    <xf numFmtId="166" fontId="8" fillId="5" borderId="0" xfId="0" applyFont="true" applyBorder="false" applyAlignment="true" applyProtection="false">
      <alignment horizontal="right" vertical="center" textRotation="0" wrapText="false" indent="0" shrinkToFit="false"/>
      <protection locked="true" hidden="false"/>
    </xf>
    <xf numFmtId="164" fontId="6" fillId="3" borderId="0" xfId="0" applyFont="true" applyBorder="false" applyAlignment="true" applyProtection="false">
      <alignment horizontal="right"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right" vertical="center" textRotation="0" wrapText="fals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9" fontId="10" fillId="0" borderId="0" xfId="0" applyFont="true" applyBorder="false" applyAlignment="true" applyProtection="false">
      <alignment horizontal="right" vertical="center" textRotation="0" wrapText="false" indent="0" shrinkToFit="false"/>
      <protection locked="true" hidden="false"/>
    </xf>
    <xf numFmtId="164" fontId="8" fillId="5"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7F7F7"/>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EDF2F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DE2E2"/>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8"/>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66"/>
  </cols>
  <sheetData>
    <row r="1" customFormat="false" ht="16.15" hidden="false" customHeight="false" outlineLevel="0" collapsed="false">
      <c r="A1" s="1" t="s">
        <v>0</v>
      </c>
    </row>
    <row r="2" customFormat="false" ht="15" hidden="false" customHeight="false" outlineLevel="0" collapsed="false">
      <c r="A2" s="2" t="s">
        <v>1</v>
      </c>
    </row>
    <row r="5" customFormat="false" ht="18.65" hidden="false" customHeight="false" outlineLevel="0" collapsed="false">
      <c r="A5" s="3" t="s">
        <v>2</v>
      </c>
    </row>
    <row r="6" customFormat="false" ht="16.4" hidden="false" customHeight="false" outlineLevel="0" collapsed="false">
      <c r="A6" s="4" t="s">
        <v>3</v>
      </c>
      <c r="B6" s="2" t="s">
        <v>4</v>
      </c>
    </row>
    <row r="7" customFormat="false" ht="16.4" hidden="false" customHeight="false" outlineLevel="0" collapsed="false">
      <c r="A7" s="4" t="s">
        <v>5</v>
      </c>
      <c r="B7" s="2" t="s">
        <v>6</v>
      </c>
    </row>
    <row r="8" customFormat="false" ht="18.65" hidden="false" customHeight="false" outlineLevel="0" collapsed="false">
      <c r="A8" s="3" t="s">
        <v>7</v>
      </c>
    </row>
    <row r="9" customFormat="false" ht="16.4" hidden="false" customHeight="false" outlineLevel="0" collapsed="false">
      <c r="A9" s="4" t="s">
        <v>8</v>
      </c>
      <c r="B9" s="2" t="s">
        <v>9</v>
      </c>
    </row>
    <row r="10" customFormat="false" ht="18.65" hidden="false" customHeight="false" outlineLevel="0" collapsed="false">
      <c r="A10" s="3" t="s">
        <v>10</v>
      </c>
    </row>
    <row r="11" customFormat="false" ht="16.4" hidden="false" customHeight="false" outlineLevel="0" collapsed="false">
      <c r="A11" s="4" t="s">
        <v>11</v>
      </c>
      <c r="B11" s="2" t="s">
        <v>12</v>
      </c>
    </row>
    <row r="12" customFormat="false" ht="16.4" hidden="false" customHeight="false" outlineLevel="0" collapsed="false">
      <c r="A12" s="4" t="s">
        <v>13</v>
      </c>
      <c r="B12" s="2" t="s">
        <v>14</v>
      </c>
    </row>
    <row r="13" customFormat="false" ht="16.4" hidden="false" customHeight="false" outlineLevel="0" collapsed="false">
      <c r="A13" s="4" t="s">
        <v>15</v>
      </c>
      <c r="B13" s="2" t="s">
        <v>16</v>
      </c>
    </row>
    <row r="14" customFormat="false" ht="16.4" hidden="false" customHeight="false" outlineLevel="0" collapsed="false">
      <c r="A14" s="4" t="s">
        <v>17</v>
      </c>
      <c r="B14" s="2" t="s">
        <v>18</v>
      </c>
    </row>
    <row r="15" customFormat="false" ht="18.65" hidden="false" customHeight="false" outlineLevel="0" collapsed="false">
      <c r="A15" s="3" t="s">
        <v>19</v>
      </c>
    </row>
    <row r="16" customFormat="false" ht="16.4" hidden="false" customHeight="false" outlineLevel="0" collapsed="false">
      <c r="A16" s="4" t="s">
        <v>20</v>
      </c>
      <c r="B16" s="2" t="s">
        <v>21</v>
      </c>
    </row>
    <row r="17" customFormat="false" ht="18.65" hidden="false" customHeight="false" outlineLevel="0" collapsed="false">
      <c r="A17" s="3" t="s">
        <v>22</v>
      </c>
    </row>
    <row r="18" customFormat="false" ht="16.4" hidden="false" customHeight="false" outlineLevel="0" collapsed="false">
      <c r="A18" s="4" t="s">
        <v>23</v>
      </c>
      <c r="B18" s="2" t="s">
        <v>24</v>
      </c>
    </row>
    <row r="19" customFormat="false" ht="16.4" hidden="false" customHeight="false" outlineLevel="0" collapsed="false">
      <c r="A19" s="4" t="s">
        <v>25</v>
      </c>
      <c r="B19" s="2" t="s">
        <v>26</v>
      </c>
    </row>
    <row r="20" customFormat="false" ht="16.4" hidden="false" customHeight="false" outlineLevel="0" collapsed="false">
      <c r="A20" s="4" t="s">
        <v>27</v>
      </c>
      <c r="B20" s="2" t="s">
        <v>28</v>
      </c>
    </row>
    <row r="21" customFormat="false" ht="18.65" hidden="false" customHeight="false" outlineLevel="0" collapsed="false">
      <c r="A21" s="3" t="s">
        <v>29</v>
      </c>
    </row>
    <row r="22" customFormat="false" ht="16.4" hidden="false" customHeight="false" outlineLevel="0" collapsed="false">
      <c r="A22" s="4" t="s">
        <v>30</v>
      </c>
      <c r="B22" s="2" t="s">
        <v>31</v>
      </c>
    </row>
    <row r="23" customFormat="false" ht="16.4" hidden="false" customHeight="false" outlineLevel="0" collapsed="false">
      <c r="A23" s="4" t="s">
        <v>32</v>
      </c>
      <c r="B23" s="2" t="s">
        <v>33</v>
      </c>
    </row>
    <row r="24" customFormat="false" ht="16.4" hidden="false" customHeight="false" outlineLevel="0" collapsed="false">
      <c r="A24" s="4" t="s">
        <v>34</v>
      </c>
      <c r="B24" s="2" t="s">
        <v>35</v>
      </c>
    </row>
    <row r="25" customFormat="false" ht="16.4" hidden="false" customHeight="false" outlineLevel="0" collapsed="false">
      <c r="A25" s="4" t="s">
        <v>36</v>
      </c>
      <c r="B25" s="2" t="s">
        <v>37</v>
      </c>
    </row>
    <row r="26" customFormat="false" ht="16.4" hidden="false" customHeight="false" outlineLevel="0" collapsed="false">
      <c r="A26" s="4" t="s">
        <v>38</v>
      </c>
      <c r="B26" s="2" t="s">
        <v>39</v>
      </c>
    </row>
    <row r="27" customFormat="false" ht="16.4" hidden="false" customHeight="false" outlineLevel="0" collapsed="false">
      <c r="A27" s="4" t="s">
        <v>40</v>
      </c>
      <c r="B27" s="2" t="s">
        <v>41</v>
      </c>
    </row>
    <row r="28" customFormat="false" ht="16.4" hidden="false" customHeight="false" outlineLevel="0" collapsed="false">
      <c r="A28" s="4" t="s">
        <v>42</v>
      </c>
      <c r="B28" s="2" t="s">
        <v>43</v>
      </c>
    </row>
    <row r="29" customFormat="false" ht="16.4" hidden="false" customHeight="false" outlineLevel="0" collapsed="false">
      <c r="A29" s="4" t="s">
        <v>44</v>
      </c>
      <c r="B29" s="2" t="s">
        <v>45</v>
      </c>
    </row>
    <row r="31" customFormat="false" ht="15" hidden="false" customHeight="false" outlineLevel="0" collapsed="false">
      <c r="A31" s="3" t="s">
        <v>46</v>
      </c>
    </row>
    <row r="32" customFormat="false" ht="16.4" hidden="false" customHeight="false" outlineLevel="0" collapsed="false">
      <c r="A32" s="4" t="s">
        <v>47</v>
      </c>
      <c r="B32" s="2" t="s">
        <v>48</v>
      </c>
    </row>
    <row r="33" customFormat="false" ht="16.4" hidden="false" customHeight="false" outlineLevel="0" collapsed="false">
      <c r="A33" s="4" t="s">
        <v>49</v>
      </c>
      <c r="B33" s="2" t="s">
        <v>50</v>
      </c>
    </row>
    <row r="34" customFormat="false" ht="16.4" hidden="false" customHeight="false" outlineLevel="0" collapsed="false">
      <c r="A34" s="4" t="s">
        <v>51</v>
      </c>
      <c r="B34" s="2" t="s">
        <v>52</v>
      </c>
    </row>
    <row r="35" customFormat="false" ht="16.4" hidden="false" customHeight="false" outlineLevel="0" collapsed="false">
      <c r="A35" s="4" t="s">
        <v>53</v>
      </c>
      <c r="B35" s="2" t="s">
        <v>54</v>
      </c>
    </row>
    <row r="37" customFormat="false" ht="15" hidden="false" customHeight="false" outlineLevel="0" collapsed="false">
      <c r="A37" s="3" t="s">
        <v>55</v>
      </c>
    </row>
    <row r="38" customFormat="false" ht="16.4" hidden="false" customHeight="false" outlineLevel="0" collapsed="false">
      <c r="A38" s="4" t="s">
        <v>56</v>
      </c>
      <c r="B38" s="2" t="s">
        <v>57</v>
      </c>
    </row>
    <row r="39" customFormat="false" ht="16.4" hidden="false" customHeight="false" outlineLevel="0" collapsed="false">
      <c r="A39" s="4" t="s">
        <v>58</v>
      </c>
      <c r="B39" s="2" t="s">
        <v>59</v>
      </c>
    </row>
    <row r="40" customFormat="false" ht="16.4" hidden="false" customHeight="false" outlineLevel="0" collapsed="false">
      <c r="A40" s="4" t="s">
        <v>60</v>
      </c>
      <c r="B40" s="2" t="s">
        <v>61</v>
      </c>
    </row>
    <row r="42" customFormat="false" ht="15" hidden="false" customHeight="false" outlineLevel="0" collapsed="false">
      <c r="A42" s="4" t="s">
        <v>62</v>
      </c>
      <c r="B42" s="2" t="s">
        <v>63</v>
      </c>
    </row>
    <row r="43" customFormat="false" ht="15" hidden="false" customHeight="false" outlineLevel="0" collapsed="false">
      <c r="A43" s="4" t="s">
        <v>64</v>
      </c>
      <c r="B43" s="2" t="s">
        <v>65</v>
      </c>
    </row>
    <row r="44" customFormat="false" ht="15" hidden="false" customHeight="false" outlineLevel="0" collapsed="false">
      <c r="A44" s="4" t="s">
        <v>66</v>
      </c>
      <c r="B44" s="2" t="s">
        <v>67</v>
      </c>
    </row>
    <row r="45" customFormat="false" ht="15" hidden="false" customHeight="false" outlineLevel="0" collapsed="false">
      <c r="A45" s="4" t="s">
        <v>68</v>
      </c>
      <c r="B45" s="2" t="s">
        <v>69</v>
      </c>
    </row>
    <row r="46" customFormat="false" ht="16.4" hidden="false" customHeight="false" outlineLevel="0" collapsed="false">
      <c r="A46" s="4" t="s">
        <v>70</v>
      </c>
      <c r="B46" s="2" t="s">
        <v>71</v>
      </c>
    </row>
    <row r="47" customFormat="false" ht="16.4" hidden="false" customHeight="false" outlineLevel="0" collapsed="false">
      <c r="A47" s="4" t="s">
        <v>72</v>
      </c>
      <c r="B47" s="2" t="s">
        <v>73</v>
      </c>
    </row>
    <row r="48" customFormat="false" ht="15" hidden="false" customHeight="false" outlineLevel="0" collapsed="false">
      <c r="A48" s="4" t="s">
        <v>74</v>
      </c>
      <c r="B48" s="2" t="s">
        <v>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3"/>
    <col collapsed="false" customWidth="true" hidden="false" outlineLevel="0" max="3" min="3" style="0" width="15"/>
    <col collapsed="false" customWidth="true" hidden="false" outlineLevel="0" max="4" min="4" style="0" width="18"/>
    <col collapsed="false" customWidth="true" hidden="false" outlineLevel="0" max="5" min="5" style="0" width="52"/>
  </cols>
  <sheetData>
    <row r="1" customFormat="false" ht="16.15" hidden="false" customHeight="false" outlineLevel="0" collapsed="false">
      <c r="A1" s="1" t="s">
        <v>76</v>
      </c>
    </row>
    <row r="2" customFormat="false" ht="15" hidden="false" customHeight="false" outlineLevel="0" collapsed="false">
      <c r="A2" s="2" t="s">
        <v>77</v>
      </c>
    </row>
    <row r="4" customFormat="false" ht="16.4" hidden="false" customHeight="false" outlineLevel="0" collapsed="false">
      <c r="A4" s="5" t="s">
        <v>78</v>
      </c>
      <c r="B4" s="5" t="s">
        <v>79</v>
      </c>
      <c r="C4" s="5" t="s">
        <v>80</v>
      </c>
      <c r="D4" s="5" t="s">
        <v>81</v>
      </c>
      <c r="E4" s="5" t="s">
        <v>82</v>
      </c>
    </row>
    <row r="5" customFormat="false" ht="18.65" hidden="false" customHeight="false" outlineLevel="0" collapsed="false">
      <c r="A5" s="6" t="s">
        <v>83</v>
      </c>
      <c r="B5" s="6"/>
      <c r="C5" s="6"/>
      <c r="D5" s="6"/>
      <c r="E5" s="6"/>
    </row>
    <row r="6" customFormat="false" ht="15" hidden="false" customHeight="false" outlineLevel="0" collapsed="false">
      <c r="A6" s="4" t="s">
        <v>84</v>
      </c>
      <c r="B6" s="7" t="n">
        <v>140</v>
      </c>
      <c r="C6" s="2" t="s">
        <v>85</v>
      </c>
      <c r="D6" s="2" t="s">
        <v>86</v>
      </c>
      <c r="E6" s="2" t="s">
        <v>87</v>
      </c>
    </row>
    <row r="7" customFormat="false" ht="15" hidden="false" customHeight="false" outlineLevel="0" collapsed="false">
      <c r="A7" s="4" t="s">
        <v>88</v>
      </c>
      <c r="B7" s="7" t="n">
        <v>160</v>
      </c>
      <c r="C7" s="2" t="s">
        <v>85</v>
      </c>
      <c r="D7" s="2" t="s">
        <v>86</v>
      </c>
      <c r="E7" s="2" t="s">
        <v>87</v>
      </c>
    </row>
    <row r="8" customFormat="false" ht="15" hidden="false" customHeight="false" outlineLevel="0" collapsed="false">
      <c r="A8" s="4" t="s">
        <v>89</v>
      </c>
      <c r="B8" s="8" t="n">
        <v>80</v>
      </c>
      <c r="C8" s="2" t="s">
        <v>85</v>
      </c>
      <c r="D8" s="2" t="s">
        <v>86</v>
      </c>
      <c r="E8" s="2" t="s">
        <v>87</v>
      </c>
    </row>
    <row r="9" customFormat="false" ht="15" hidden="false" customHeight="false" outlineLevel="0" collapsed="false">
      <c r="A9" s="4" t="s">
        <v>90</v>
      </c>
      <c r="B9" s="8" t="n">
        <v>1.4</v>
      </c>
      <c r="C9" s="2" t="s">
        <v>91</v>
      </c>
      <c r="D9" s="2" t="s">
        <v>86</v>
      </c>
      <c r="E9" s="2" t="s">
        <v>92</v>
      </c>
    </row>
    <row r="10" customFormat="false" ht="15" hidden="false" customHeight="false" outlineLevel="0" collapsed="false">
      <c r="A10" s="4" t="s">
        <v>93</v>
      </c>
      <c r="B10" s="9" t="n">
        <v>0.4</v>
      </c>
      <c r="C10" s="2" t="s">
        <v>94</v>
      </c>
      <c r="D10" s="2" t="s">
        <v>86</v>
      </c>
      <c r="E10" s="2" t="s">
        <v>95</v>
      </c>
    </row>
    <row r="11" customFormat="false" ht="15" hidden="false" customHeight="false" outlineLevel="0" collapsed="false">
      <c r="A11" s="4" t="s">
        <v>96</v>
      </c>
      <c r="B11" s="9" t="n">
        <v>0.6</v>
      </c>
      <c r="C11" s="2" t="s">
        <v>94</v>
      </c>
      <c r="D11" s="2" t="s">
        <v>86</v>
      </c>
      <c r="E11" s="2" t="s">
        <v>97</v>
      </c>
    </row>
    <row r="12" customFormat="false" ht="18.65" hidden="false" customHeight="false" outlineLevel="0" collapsed="false">
      <c r="A12" s="6" t="s">
        <v>98</v>
      </c>
      <c r="B12" s="6"/>
      <c r="C12" s="6"/>
      <c r="D12" s="6"/>
      <c r="E12" s="6"/>
    </row>
    <row r="13" customFormat="false" ht="16.4" hidden="false" customHeight="false" outlineLevel="0" collapsed="false">
      <c r="A13" s="4" t="s">
        <v>99</v>
      </c>
      <c r="B13" s="9" t="n">
        <v>0.3</v>
      </c>
      <c r="C13" s="2" t="s">
        <v>94</v>
      </c>
      <c r="D13" s="2" t="s">
        <v>86</v>
      </c>
      <c r="E13" s="2" t="s">
        <v>100</v>
      </c>
    </row>
    <row r="14" customFormat="false" ht="16.4" hidden="false" customHeight="false" outlineLevel="0" collapsed="false">
      <c r="A14" s="4" t="s">
        <v>101</v>
      </c>
      <c r="B14" s="9" t="n">
        <v>0.75</v>
      </c>
      <c r="C14" s="2" t="s">
        <v>94</v>
      </c>
      <c r="D14" s="2" t="s">
        <v>86</v>
      </c>
      <c r="E14" s="2" t="s">
        <v>102</v>
      </c>
    </row>
    <row r="15" customFormat="false" ht="16.4" hidden="false" customHeight="false" outlineLevel="0" collapsed="false">
      <c r="A15" s="4" t="s">
        <v>103</v>
      </c>
      <c r="B15" s="8" t="n">
        <v>1</v>
      </c>
      <c r="C15" s="2" t="s">
        <v>94</v>
      </c>
      <c r="D15" s="2" t="s">
        <v>86</v>
      </c>
      <c r="E15" s="2" t="s">
        <v>104</v>
      </c>
    </row>
    <row r="16" customFormat="false" ht="15" hidden="false" customHeight="false" outlineLevel="0" collapsed="false">
      <c r="A16" s="4" t="s">
        <v>105</v>
      </c>
      <c r="B16" s="8" t="n">
        <v>6</v>
      </c>
      <c r="C16" s="2" t="s">
        <v>106</v>
      </c>
      <c r="D16" s="2" t="s">
        <v>86</v>
      </c>
      <c r="E16" s="2" t="s">
        <v>107</v>
      </c>
    </row>
    <row r="17" customFormat="false" ht="15" hidden="false" customHeight="false" outlineLevel="0" collapsed="false">
      <c r="A17" s="4" t="s">
        <v>108</v>
      </c>
      <c r="B17" s="8" t="n">
        <v>11</v>
      </c>
      <c r="C17" s="2" t="s">
        <v>106</v>
      </c>
      <c r="D17" s="2" t="s">
        <v>86</v>
      </c>
      <c r="E17" s="2" t="s">
        <v>109</v>
      </c>
    </row>
    <row r="18" customFormat="false" ht="15" hidden="false" customHeight="false" outlineLevel="0" collapsed="false">
      <c r="A18" s="4" t="s">
        <v>110</v>
      </c>
      <c r="B18" s="8" t="n">
        <v>19</v>
      </c>
      <c r="C18" s="2" t="s">
        <v>106</v>
      </c>
      <c r="D18" s="2" t="s">
        <v>86</v>
      </c>
      <c r="E18" s="2" t="s">
        <v>111</v>
      </c>
    </row>
    <row r="19" customFormat="false" ht="18.65" hidden="false" customHeight="false" outlineLevel="0" collapsed="false">
      <c r="A19" s="6" t="s">
        <v>112</v>
      </c>
      <c r="B19" s="6"/>
      <c r="C19" s="6"/>
      <c r="D19" s="6"/>
      <c r="E19" s="6"/>
    </row>
    <row r="20" customFormat="false" ht="16.4" hidden="false" customHeight="false" outlineLevel="0" collapsed="false">
      <c r="A20" s="4" t="s">
        <v>113</v>
      </c>
      <c r="B20" s="8" t="n">
        <v>10</v>
      </c>
      <c r="C20" s="2" t="s">
        <v>114</v>
      </c>
      <c r="D20" s="2" t="s">
        <v>86</v>
      </c>
      <c r="E20" s="2" t="s">
        <v>115</v>
      </c>
    </row>
    <row r="21" customFormat="false" ht="16.4" hidden="false" customHeight="false" outlineLevel="0" collapsed="false">
      <c r="A21" s="4" t="s">
        <v>116</v>
      </c>
      <c r="B21" s="8" t="n">
        <v>18</v>
      </c>
      <c r="C21" s="2" t="s">
        <v>114</v>
      </c>
      <c r="D21" s="2" t="s">
        <v>86</v>
      </c>
      <c r="E21" s="2" t="s">
        <v>117</v>
      </c>
    </row>
    <row r="22" customFormat="false" ht="16.4" hidden="false" customHeight="false" outlineLevel="0" collapsed="false">
      <c r="A22" s="4" t="s">
        <v>118</v>
      </c>
      <c r="B22" s="8" t="n">
        <v>20</v>
      </c>
      <c r="C22" s="2" t="s">
        <v>114</v>
      </c>
      <c r="D22" s="2" t="s">
        <v>86</v>
      </c>
      <c r="E22" s="2" t="s">
        <v>119</v>
      </c>
    </row>
    <row r="23" customFormat="false" ht="15" hidden="false" customHeight="false" outlineLevel="0" collapsed="false">
      <c r="A23" s="4" t="s">
        <v>120</v>
      </c>
      <c r="B23" s="8" t="n">
        <v>5</v>
      </c>
      <c r="C23" s="2" t="s">
        <v>106</v>
      </c>
      <c r="D23" s="2" t="s">
        <v>86</v>
      </c>
      <c r="E23" s="2" t="s">
        <v>121</v>
      </c>
    </row>
    <row r="24" customFormat="false" ht="15" hidden="false" customHeight="false" outlineLevel="0" collapsed="false">
      <c r="A24" s="4" t="s">
        <v>122</v>
      </c>
      <c r="B24" s="8" t="n">
        <v>6</v>
      </c>
      <c r="C24" s="2" t="s">
        <v>106</v>
      </c>
      <c r="D24" s="2" t="s">
        <v>86</v>
      </c>
      <c r="E24" s="2" t="s">
        <v>123</v>
      </c>
    </row>
    <row r="25" customFormat="false" ht="15" hidden="false" customHeight="false" outlineLevel="0" collapsed="false">
      <c r="A25" s="4" t="s">
        <v>124</v>
      </c>
      <c r="B25" s="9" t="n">
        <v>0.6</v>
      </c>
      <c r="C25" s="2" t="s">
        <v>94</v>
      </c>
      <c r="D25" s="2" t="s">
        <v>86</v>
      </c>
      <c r="E25" s="2" t="s">
        <v>125</v>
      </c>
    </row>
    <row r="26" customFormat="false" ht="18.65" hidden="false" customHeight="false" outlineLevel="0" collapsed="false">
      <c r="A26" s="6" t="s">
        <v>126</v>
      </c>
      <c r="B26" s="6"/>
      <c r="C26" s="6"/>
      <c r="D26" s="6"/>
      <c r="E26" s="6"/>
    </row>
    <row r="27" customFormat="false" ht="15" hidden="false" customHeight="false" outlineLevel="0" collapsed="false">
      <c r="A27" s="4" t="s">
        <v>127</v>
      </c>
      <c r="B27" s="8" t="n">
        <v>3</v>
      </c>
      <c r="C27" s="2" t="s">
        <v>128</v>
      </c>
      <c r="D27" s="2" t="s">
        <v>129</v>
      </c>
      <c r="E27" s="2" t="s">
        <v>130</v>
      </c>
    </row>
    <row r="28" customFormat="false" ht="15" hidden="false" customHeight="false" outlineLevel="0" collapsed="false">
      <c r="A28" s="4" t="s">
        <v>131</v>
      </c>
      <c r="B28" s="10" t="n">
        <v>1.5</v>
      </c>
      <c r="C28" s="2" t="s">
        <v>106</v>
      </c>
      <c r="D28" s="2" t="s">
        <v>132</v>
      </c>
      <c r="E28" s="2" t="s">
        <v>71</v>
      </c>
    </row>
    <row r="29" customFormat="false" ht="16.4" hidden="false" customHeight="false" outlineLevel="0" collapsed="false">
      <c r="A29" s="4" t="s">
        <v>133</v>
      </c>
      <c r="B29" s="10" t="n">
        <v>20</v>
      </c>
      <c r="C29" s="2" t="s">
        <v>134</v>
      </c>
      <c r="D29" s="2" t="s">
        <v>132</v>
      </c>
      <c r="E29" s="2" t="s">
        <v>71</v>
      </c>
    </row>
    <row r="30" customFormat="false" ht="15" hidden="false" customHeight="false" outlineLevel="0" collapsed="false">
      <c r="A30" s="4" t="s">
        <v>135</v>
      </c>
      <c r="B30" s="7" t="n">
        <v>150</v>
      </c>
      <c r="C30" s="2" t="s">
        <v>136</v>
      </c>
      <c r="D30" s="2" t="s">
        <v>132</v>
      </c>
      <c r="E30" s="2" t="s">
        <v>137</v>
      </c>
    </row>
    <row r="31" customFormat="false" ht="16.4" hidden="false" customHeight="false" outlineLevel="0" collapsed="false">
      <c r="A31" s="4" t="s">
        <v>138</v>
      </c>
      <c r="B31" s="7" t="n">
        <v>400</v>
      </c>
      <c r="C31" s="2" t="s">
        <v>136</v>
      </c>
      <c r="D31" s="2" t="s">
        <v>132</v>
      </c>
      <c r="E31" s="2" t="s">
        <v>139</v>
      </c>
    </row>
    <row r="32" customFormat="false" ht="16.4" hidden="false" customHeight="false" outlineLevel="0" collapsed="false">
      <c r="A32" s="4" t="s">
        <v>140</v>
      </c>
      <c r="B32" s="9" t="n">
        <v>0.3</v>
      </c>
      <c r="C32" s="2" t="s">
        <v>94</v>
      </c>
      <c r="D32" s="2" t="s">
        <v>132</v>
      </c>
      <c r="E32" s="2" t="s">
        <v>141</v>
      </c>
    </row>
    <row r="33" customFormat="false" ht="18.65" hidden="false" customHeight="false" outlineLevel="0" collapsed="false">
      <c r="A33" s="6" t="s">
        <v>142</v>
      </c>
      <c r="B33" s="6"/>
      <c r="C33" s="6"/>
      <c r="D33" s="6"/>
      <c r="E33" s="6"/>
    </row>
    <row r="34" customFormat="false" ht="16.4" hidden="false" customHeight="false" outlineLevel="0" collapsed="false">
      <c r="A34" s="4" t="s">
        <v>143</v>
      </c>
      <c r="B34" s="10" t="n">
        <v>16</v>
      </c>
      <c r="C34" s="2" t="s">
        <v>144</v>
      </c>
      <c r="D34" s="2" t="s">
        <v>132</v>
      </c>
      <c r="E34" s="2" t="s">
        <v>145</v>
      </c>
    </row>
    <row r="35" customFormat="false" ht="16.4" hidden="false" customHeight="false" outlineLevel="0" collapsed="false">
      <c r="A35" s="4" t="s">
        <v>146</v>
      </c>
      <c r="B35" s="10" t="n">
        <v>24</v>
      </c>
      <c r="C35" s="2" t="s">
        <v>144</v>
      </c>
      <c r="D35" s="2" t="s">
        <v>132</v>
      </c>
      <c r="E35" s="2" t="s">
        <v>147</v>
      </c>
    </row>
    <row r="36" customFormat="false" ht="16.4" hidden="false" customHeight="false" outlineLevel="0" collapsed="false">
      <c r="A36" s="4" t="s">
        <v>148</v>
      </c>
      <c r="B36" s="10" t="n">
        <v>8</v>
      </c>
      <c r="C36" s="2" t="s">
        <v>149</v>
      </c>
      <c r="D36" s="2" t="s">
        <v>132</v>
      </c>
      <c r="E36" s="2" t="s">
        <v>150</v>
      </c>
    </row>
    <row r="37" customFormat="false" ht="15" hidden="false" customHeight="false" outlineLevel="0" collapsed="false">
      <c r="A37" s="4" t="s">
        <v>151</v>
      </c>
      <c r="B37" s="10" t="n">
        <v>8</v>
      </c>
      <c r="C37" s="2" t="s">
        <v>152</v>
      </c>
      <c r="D37" s="2" t="s">
        <v>132</v>
      </c>
      <c r="E37" s="2" t="s">
        <v>71</v>
      </c>
    </row>
    <row r="38" customFormat="false" ht="16.4" hidden="false" customHeight="false" outlineLevel="0" collapsed="false">
      <c r="A38" s="4" t="s">
        <v>153</v>
      </c>
      <c r="B38" s="8" t="n">
        <v>1</v>
      </c>
      <c r="C38" s="2" t="s">
        <v>152</v>
      </c>
      <c r="D38" s="2" t="s">
        <v>86</v>
      </c>
      <c r="E38" s="2" t="s">
        <v>154</v>
      </c>
    </row>
    <row r="39" customFormat="false" ht="16.4" hidden="false" customHeight="false" outlineLevel="0" collapsed="false">
      <c r="A39" s="4" t="s">
        <v>155</v>
      </c>
      <c r="B39" s="8" t="n">
        <v>60</v>
      </c>
      <c r="C39" s="2" t="s">
        <v>152</v>
      </c>
      <c r="D39" s="2" t="s">
        <v>132</v>
      </c>
      <c r="E39" s="2" t="s">
        <v>86</v>
      </c>
    </row>
    <row r="40" customFormat="false" ht="18.65" hidden="false" customHeight="false" outlineLevel="0" collapsed="false">
      <c r="A40" s="6" t="s">
        <v>156</v>
      </c>
      <c r="B40" s="6"/>
      <c r="C40" s="6"/>
      <c r="D40" s="6"/>
      <c r="E40" s="6"/>
    </row>
    <row r="41" customFormat="false" ht="15" hidden="false" customHeight="false" outlineLevel="0" collapsed="false">
      <c r="A41" s="4" t="s">
        <v>157</v>
      </c>
      <c r="B41" s="11" t="n">
        <v>0.04</v>
      </c>
      <c r="C41" s="2" t="s">
        <v>94</v>
      </c>
      <c r="D41" s="2" t="s">
        <v>158</v>
      </c>
      <c r="E41" s="2" t="s">
        <v>159</v>
      </c>
    </row>
    <row r="42" customFormat="false" ht="15" hidden="false" customHeight="false" outlineLevel="0" collapsed="false">
      <c r="A42" s="4" t="s">
        <v>160</v>
      </c>
      <c r="B42" s="11" t="n">
        <v>0.44</v>
      </c>
      <c r="C42" s="2" t="s">
        <v>94</v>
      </c>
      <c r="D42" s="2" t="s">
        <v>129</v>
      </c>
      <c r="E42" s="2" t="s">
        <v>161</v>
      </c>
    </row>
    <row r="43" customFormat="false" ht="15" hidden="false" customHeight="false" outlineLevel="0" collapsed="false">
      <c r="A43" s="4" t="s">
        <v>162</v>
      </c>
      <c r="B43" s="8" t="n">
        <v>2</v>
      </c>
      <c r="C43" s="2" t="s">
        <v>163</v>
      </c>
      <c r="D43" s="2" t="s">
        <v>86</v>
      </c>
      <c r="E43" s="2" t="s">
        <v>164</v>
      </c>
    </row>
    <row r="44" customFormat="false" ht="15" hidden="false" customHeight="false" outlineLevel="0" collapsed="false">
      <c r="A44" s="4" t="s">
        <v>165</v>
      </c>
      <c r="B44" s="9" t="n">
        <v>0.02</v>
      </c>
      <c r="C44" s="2" t="s">
        <v>94</v>
      </c>
      <c r="D44" s="2" t="s">
        <v>129</v>
      </c>
      <c r="E44" s="2" t="s">
        <v>166</v>
      </c>
    </row>
    <row r="45" customFormat="false" ht="15" hidden="false" customHeight="false" outlineLevel="0" collapsed="false">
      <c r="A45" s="4" t="s">
        <v>167</v>
      </c>
      <c r="B45" s="11" t="n">
        <v>0.7</v>
      </c>
      <c r="C45" s="2" t="s">
        <v>94</v>
      </c>
      <c r="D45" s="2" t="s">
        <v>132</v>
      </c>
      <c r="E45" s="2" t="s">
        <v>168</v>
      </c>
    </row>
    <row r="46" customFormat="false" ht="18.65" hidden="false" customHeight="false" outlineLevel="0" collapsed="false">
      <c r="A46" s="6" t="s">
        <v>169</v>
      </c>
      <c r="B46" s="6"/>
      <c r="C46" s="6"/>
      <c r="D46" s="6"/>
      <c r="E46" s="6"/>
    </row>
    <row r="47" customFormat="false" ht="16.4" hidden="false" customHeight="false" outlineLevel="0" collapsed="false">
      <c r="A47" s="4" t="s">
        <v>72</v>
      </c>
      <c r="B47" s="12" t="n">
        <v>1500</v>
      </c>
      <c r="C47" s="2" t="s">
        <v>136</v>
      </c>
      <c r="D47" s="2" t="s">
        <v>132</v>
      </c>
      <c r="E47" s="2" t="s">
        <v>170</v>
      </c>
    </row>
    <row r="48" customFormat="false" ht="15" hidden="false" customHeight="false" outlineLevel="0" collapsed="false">
      <c r="A48" s="4" t="s">
        <v>171</v>
      </c>
      <c r="B48" s="8" t="n">
        <v>3</v>
      </c>
      <c r="C48" s="2" t="s">
        <v>163</v>
      </c>
      <c r="D48" s="2" t="s">
        <v>86</v>
      </c>
      <c r="E48" s="2" t="s">
        <v>172</v>
      </c>
    </row>
    <row r="50" customFormat="false" ht="18.65" hidden="false" customHeight="false" outlineLevel="0" collapsed="false">
      <c r="A50" s="6" t="s">
        <v>173</v>
      </c>
      <c r="B50" s="6"/>
      <c r="C50" s="6"/>
      <c r="D50" s="6"/>
      <c r="E50" s="6"/>
    </row>
    <row r="51" customFormat="false" ht="16.4" hidden="false" customHeight="false" outlineLevel="0" collapsed="false">
      <c r="A51" s="5" t="s">
        <v>174</v>
      </c>
      <c r="B51" s="5" t="s">
        <v>79</v>
      </c>
      <c r="C51" s="5" t="s">
        <v>80</v>
      </c>
      <c r="D51" s="5" t="s">
        <v>81</v>
      </c>
      <c r="E51" s="5" t="s">
        <v>175</v>
      </c>
    </row>
    <row r="52" customFormat="false" ht="16.4" hidden="false" customHeight="false" outlineLevel="0" collapsed="false">
      <c r="A52" s="4" t="s">
        <v>176</v>
      </c>
      <c r="B52" s="13" t="n">
        <f aca="false">('مفروضات مشترک'!$B$6*'مفروضات مشترک'!$B$11+'مفروضات مشترک'!$B$7*(1-'مفروضات مشترک'!$B$11))*'مفروضات مشترک'!$B$9</f>
        <v>207.2</v>
      </c>
      <c r="C52" s="2" t="s">
        <v>177</v>
      </c>
      <c r="D52" s="2" t="s">
        <v>86</v>
      </c>
      <c r="E52" s="2" t="s">
        <v>178</v>
      </c>
    </row>
    <row r="53" customFormat="false" ht="16.4" hidden="false" customHeight="false" outlineLevel="0" collapsed="false">
      <c r="A53" s="4" t="s">
        <v>179</v>
      </c>
      <c r="B53" s="13" t="n">
        <f aca="false">('مفروضات مشترک'!$B$6+'مفروضات مشترک'!$B$7+'مفروضات مشترک'!$B$8)/3*'مفروضات مشترک'!$B$9</f>
        <v>177.333333333333</v>
      </c>
      <c r="C53" s="2" t="s">
        <v>177</v>
      </c>
      <c r="D53" s="2" t="s">
        <v>86</v>
      </c>
      <c r="E53" s="2" t="s">
        <v>180</v>
      </c>
    </row>
    <row r="55" customFormat="false" ht="15" hidden="false" customHeight="false" outlineLevel="0" collapsed="false">
      <c r="A55" s="3" t="s">
        <v>181</v>
      </c>
    </row>
    <row r="56" customFormat="false" ht="14.9" hidden="false" customHeight="false" outlineLevel="0" collapsed="false">
      <c r="A56" s="14" t="s">
        <v>182</v>
      </c>
      <c r="B56" s="14"/>
      <c r="C56" s="14"/>
      <c r="D56" s="14"/>
      <c r="E56" s="14"/>
    </row>
  </sheetData>
  <mergeCells count="9">
    <mergeCell ref="A5:E5"/>
    <mergeCell ref="A12:E12"/>
    <mergeCell ref="A19:E19"/>
    <mergeCell ref="A26:E26"/>
    <mergeCell ref="A33:E33"/>
    <mergeCell ref="A40:E40"/>
    <mergeCell ref="A46:E46"/>
    <mergeCell ref="A50:E50"/>
    <mergeCell ref="A56:E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2"/>
    <col collapsed="false" customWidth="true" hidden="false" outlineLevel="0" max="5" min="3" style="0" width="15"/>
    <col collapsed="false" customWidth="true" hidden="false" outlineLevel="0" max="6" min="6" style="0" width="54"/>
  </cols>
  <sheetData>
    <row r="1" customFormat="false" ht="16.15" hidden="false" customHeight="false" outlineLevel="0" collapsed="false">
      <c r="A1" s="1" t="s">
        <v>183</v>
      </c>
    </row>
    <row r="2" customFormat="false" ht="15" hidden="false" customHeight="false" outlineLevel="0" collapsed="false">
      <c r="A2" s="2" t="s">
        <v>184</v>
      </c>
    </row>
    <row r="4" customFormat="false" ht="16.4" hidden="false" customHeight="false" outlineLevel="0" collapsed="false">
      <c r="A4" s="5"/>
      <c r="B4" s="5" t="s">
        <v>185</v>
      </c>
      <c r="C4" s="5" t="s">
        <v>186</v>
      </c>
      <c r="D4" s="5" t="s">
        <v>187</v>
      </c>
      <c r="E4" s="5" t="s">
        <v>188</v>
      </c>
      <c r="F4" s="5" t="s">
        <v>189</v>
      </c>
    </row>
    <row r="5" customFormat="false" ht="18.65" hidden="false" customHeight="false" outlineLevel="0" collapsed="false">
      <c r="B5" s="6" t="s">
        <v>190</v>
      </c>
      <c r="C5" s="6"/>
      <c r="D5" s="6"/>
      <c r="E5" s="6"/>
      <c r="F5" s="6"/>
    </row>
    <row r="6" customFormat="false" ht="15" hidden="false" customHeight="false" outlineLevel="0" collapsed="false">
      <c r="B6" s="4" t="s">
        <v>191</v>
      </c>
      <c r="C6" s="15" t="n">
        <f aca="false">'بازار هدف'!$F$7</f>
        <v>46.44864</v>
      </c>
      <c r="D6" s="15" t="n">
        <f aca="false">'بازار هدف'!$F$6</f>
        <v>174.1824</v>
      </c>
      <c r="E6" s="15" t="n">
        <f aca="false">'بازار هدف'!$F$5</f>
        <v>1765.04832</v>
      </c>
      <c r="F6" s="2" t="s">
        <v>192</v>
      </c>
    </row>
    <row r="7" customFormat="false" ht="15" hidden="false" customHeight="false" outlineLevel="0" collapsed="false">
      <c r="B7" s="4" t="s">
        <v>193</v>
      </c>
      <c r="C7" s="16" t="n">
        <f aca="false">'بازار هدف'!$E$7</f>
        <v>30</v>
      </c>
      <c r="D7" s="16" t="n">
        <f aca="false">'بازار هدف'!$E$6</f>
        <v>10</v>
      </c>
      <c r="E7" s="16" t="n">
        <f aca="false">'بازار هدف'!$E$5</f>
        <v>1</v>
      </c>
      <c r="F7" s="2" t="s">
        <v>194</v>
      </c>
    </row>
    <row r="8" customFormat="false" ht="15" hidden="false" customHeight="false" outlineLevel="0" collapsed="false">
      <c r="B8" s="4" t="s">
        <v>195</v>
      </c>
      <c r="C8" s="11" t="n">
        <v>0.2</v>
      </c>
      <c r="D8" s="11" t="n">
        <v>0.3</v>
      </c>
      <c r="E8" s="11" t="n">
        <v>0.4</v>
      </c>
      <c r="F8" s="2" t="s">
        <v>196</v>
      </c>
    </row>
    <row r="9" customFormat="false" ht="15" hidden="false" customHeight="false" outlineLevel="0" collapsed="false">
      <c r="B9" s="4" t="s">
        <v>197</v>
      </c>
      <c r="C9" s="9" t="n">
        <v>0.03</v>
      </c>
      <c r="D9" s="9" t="n">
        <v>0.04</v>
      </c>
      <c r="E9" s="9" t="n">
        <v>0.05</v>
      </c>
      <c r="F9" s="2" t="s">
        <v>198</v>
      </c>
    </row>
    <row r="10" customFormat="false" ht="15" hidden="false" customHeight="false" outlineLevel="0" collapsed="false">
      <c r="B10" s="4" t="s">
        <v>199</v>
      </c>
      <c r="C10" s="9" t="n">
        <v>0.3</v>
      </c>
      <c r="D10" s="9" t="n">
        <v>0.325</v>
      </c>
      <c r="E10" s="9" t="n">
        <v>0.35</v>
      </c>
      <c r="F10" s="2" t="s">
        <v>200</v>
      </c>
    </row>
    <row r="11" customFormat="false" ht="18.65" hidden="false" customHeight="false" outlineLevel="0" collapsed="false">
      <c r="B11" s="6" t="s">
        <v>201</v>
      </c>
      <c r="C11" s="6"/>
      <c r="D11" s="6"/>
      <c r="E11" s="6"/>
      <c r="F11" s="6"/>
    </row>
    <row r="12" customFormat="false" ht="15" hidden="false" customHeight="false" outlineLevel="0" collapsed="false">
      <c r="B12" s="4" t="s">
        <v>202</v>
      </c>
      <c r="C12" s="8" t="n">
        <v>2</v>
      </c>
      <c r="D12" s="8" t="n">
        <v>4</v>
      </c>
      <c r="E12" s="8" t="n">
        <v>6</v>
      </c>
      <c r="F12" s="2" t="s">
        <v>203</v>
      </c>
    </row>
    <row r="13" customFormat="false" ht="15" hidden="false" customHeight="false" outlineLevel="0" collapsed="false">
      <c r="B13" s="4" t="s">
        <v>204</v>
      </c>
      <c r="C13" s="9" t="n">
        <v>0.4</v>
      </c>
      <c r="D13" s="9" t="n">
        <v>0.5</v>
      </c>
      <c r="E13" s="9" t="n">
        <v>0.6</v>
      </c>
      <c r="F13" s="2" t="s">
        <v>205</v>
      </c>
    </row>
    <row r="14" customFormat="false" ht="15" hidden="false" customHeight="false" outlineLevel="0" collapsed="false">
      <c r="B14" s="4" t="s">
        <v>206</v>
      </c>
      <c r="C14" s="9" t="n">
        <v>0.15</v>
      </c>
      <c r="D14" s="9" t="n">
        <v>0.25</v>
      </c>
      <c r="E14" s="9" t="n">
        <v>0.35</v>
      </c>
      <c r="F14" s="2" t="s">
        <v>207</v>
      </c>
    </row>
    <row r="15" customFormat="false" ht="15" hidden="false" customHeight="false" outlineLevel="0" collapsed="false">
      <c r="B15" s="4" t="s">
        <v>208</v>
      </c>
      <c r="C15" s="8" t="n">
        <v>5</v>
      </c>
      <c r="D15" s="8" t="n">
        <v>3</v>
      </c>
      <c r="E15" s="8" t="n">
        <v>2</v>
      </c>
      <c r="F15" s="2" t="s">
        <v>209</v>
      </c>
    </row>
    <row r="16" customFormat="false" ht="15" hidden="false" customHeight="false" outlineLevel="0" collapsed="false">
      <c r="B16" s="4" t="s">
        <v>68</v>
      </c>
      <c r="C16" s="11" t="n">
        <v>0.25</v>
      </c>
      <c r="D16" s="11" t="n">
        <v>0.15</v>
      </c>
      <c r="E16" s="11" t="n">
        <v>0.1</v>
      </c>
      <c r="F16" s="2" t="s">
        <v>210</v>
      </c>
    </row>
    <row r="17" customFormat="false" ht="18.65" hidden="false" customHeight="false" outlineLevel="0" collapsed="false">
      <c r="B17" s="6" t="s">
        <v>211</v>
      </c>
      <c r="C17" s="6"/>
      <c r="D17" s="6"/>
      <c r="E17" s="6"/>
      <c r="F17" s="6"/>
    </row>
    <row r="18" customFormat="false" ht="15" hidden="false" customHeight="false" outlineLevel="0" collapsed="false">
      <c r="B18" s="4" t="s">
        <v>212</v>
      </c>
      <c r="C18" s="8" t="n">
        <v>5</v>
      </c>
      <c r="D18" s="8" t="n">
        <v>3</v>
      </c>
      <c r="E18" s="8" t="n">
        <v>3</v>
      </c>
      <c r="F18" s="2" t="s">
        <v>213</v>
      </c>
    </row>
    <row r="20" customFormat="false" ht="15" hidden="false" customHeight="false" outlineLevel="0" collapsed="false">
      <c r="B20" s="3" t="s">
        <v>214</v>
      </c>
    </row>
    <row r="21" customFormat="false" ht="15" hidden="false" customHeight="false" outlineLevel="0" collapsed="false">
      <c r="B21" s="14" t="s">
        <v>215</v>
      </c>
      <c r="C21" s="14"/>
      <c r="D21" s="14"/>
      <c r="E21" s="14"/>
      <c r="F21" s="14"/>
    </row>
  </sheetData>
  <mergeCells count="4">
    <mergeCell ref="B5:F5"/>
    <mergeCell ref="B11:F11"/>
    <mergeCell ref="B17:F17"/>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4" min="3" style="0" width="14"/>
    <col collapsed="false" customWidth="true" hidden="false" outlineLevel="0" max="5" min="5" style="0" width="11"/>
    <col collapsed="false" customWidth="true" hidden="false" outlineLevel="0" max="6" min="6" style="0" width="15"/>
    <col collapsed="false" customWidth="true" hidden="false" outlineLevel="0" max="7" min="7" style="0" width="14"/>
    <col collapsed="false" customWidth="true" hidden="false" outlineLevel="0" max="8" min="8" style="0" width="12"/>
    <col collapsed="false" customWidth="true" hidden="false" outlineLevel="0" max="9" min="9" style="0" width="14"/>
    <col collapsed="false" customWidth="true" hidden="false" outlineLevel="0" max="10" min="10" style="0" width="12"/>
    <col collapsed="false" customWidth="true" hidden="false" outlineLevel="0" max="11" min="11" style="0" width="13"/>
    <col collapsed="false" customWidth="true" hidden="false" outlineLevel="0" max="12" min="12" style="0" width="40"/>
  </cols>
  <sheetData>
    <row r="1" customFormat="false" ht="16.15" hidden="false" customHeight="false" outlineLevel="0" collapsed="false">
      <c r="A1" s="1" t="s">
        <v>216</v>
      </c>
    </row>
    <row r="2" customFormat="false" ht="15" hidden="false" customHeight="false" outlineLevel="0" collapsed="false">
      <c r="A2" s="2" t="s">
        <v>217</v>
      </c>
    </row>
    <row r="4" customFormat="false" ht="31.3" hidden="false" customHeight="false" outlineLevel="0" collapsed="false">
      <c r="A4" s="5"/>
      <c r="B4" s="5" t="s">
        <v>218</v>
      </c>
      <c r="C4" s="5" t="s">
        <v>219</v>
      </c>
      <c r="D4" s="5" t="s">
        <v>220</v>
      </c>
      <c r="E4" s="5" t="s">
        <v>221</v>
      </c>
      <c r="F4" s="5" t="s">
        <v>222</v>
      </c>
      <c r="G4" s="5" t="s">
        <v>223</v>
      </c>
      <c r="H4" s="5" t="s">
        <v>224</v>
      </c>
      <c r="I4" s="5" t="s">
        <v>225</v>
      </c>
      <c r="J4" s="5" t="s">
        <v>226</v>
      </c>
      <c r="K4" s="5" t="s">
        <v>227</v>
      </c>
      <c r="L4" s="5" t="s">
        <v>228</v>
      </c>
    </row>
    <row r="5" customFormat="false" ht="15" hidden="false" customHeight="false" outlineLevel="0" collapsed="false">
      <c r="B5" s="17" t="s">
        <v>229</v>
      </c>
      <c r="C5" s="10" t="n">
        <v>30.4</v>
      </c>
      <c r="D5" s="18" t="n">
        <f aca="false">C5*(1+'مفروضات مشترک'!$B$42)^'مفروضات مشترک'!$B$43</f>
        <v>63.03744</v>
      </c>
      <c r="E5" s="10" t="n">
        <v>1</v>
      </c>
      <c r="F5" s="19" t="n">
        <f aca="false">D5*1000*'مفروضات مشترک'!$B$41*'مفروضات مشترک'!$B$45</f>
        <v>1765.04832</v>
      </c>
      <c r="G5" s="19" t="n">
        <f aca="false">F5*1000*سناریوها!$D$8*سناریوها!$D$9</f>
        <v>21180.57984</v>
      </c>
      <c r="H5" s="20" t="n">
        <f aca="false">'مفروضات مشترک'!$B$34*(1-'مفروضات مشترک'!$B$32)+'مفروضات مشترک'!$B$35*'مفروضات مشترک'!$B$32+'مفروضات مشترک'!$B$36*F5/100</f>
        <v>159.6038656</v>
      </c>
      <c r="I5" s="13" t="n">
        <f aca="false">E5*G5</f>
        <v>21180.57984</v>
      </c>
      <c r="J5" s="20" t="n">
        <f aca="false">E5*H5/('مفروضات مشترک'!$B$25*160)</f>
        <v>1.66254026666667</v>
      </c>
      <c r="K5" s="21" t="n">
        <f aca="false">G5/1000/(D5*1000*'مفروضات مشترک'!$B$44)</f>
        <v>0.0168</v>
      </c>
      <c r="L5" s="2" t="s">
        <v>230</v>
      </c>
    </row>
    <row r="6" customFormat="false" ht="15" hidden="false" customHeight="false" outlineLevel="0" collapsed="false">
      <c r="B6" s="17" t="s">
        <v>231</v>
      </c>
      <c r="C6" s="10" t="n">
        <v>3</v>
      </c>
      <c r="D6" s="18" t="n">
        <f aca="false">C6*(1+'مفروضات مشترک'!$B$42)^'مفروضات مشترک'!$B$43</f>
        <v>6.2208</v>
      </c>
      <c r="E6" s="10" t="n">
        <v>10</v>
      </c>
      <c r="F6" s="19" t="n">
        <f aca="false">D6*1000*'مفروضات مشترک'!$B$41*'مفروضات مشترک'!$B$45</f>
        <v>174.1824</v>
      </c>
      <c r="G6" s="19" t="n">
        <f aca="false">F6*1000*سناریوها!$D$8*سناریوها!$D$9</f>
        <v>2090.1888</v>
      </c>
      <c r="H6" s="20" t="n">
        <f aca="false">'مفروضات مشترک'!$B$34*(1-'مفروضات مشترک'!$B$32)+'مفروضات مشترک'!$B$35*'مفروضات مشترک'!$B$32+'مفروضات مشترک'!$B$36*F6/100</f>
        <v>32.334592</v>
      </c>
      <c r="I6" s="13" t="n">
        <f aca="false">E6*G6</f>
        <v>20901.888</v>
      </c>
      <c r="J6" s="20" t="n">
        <f aca="false">E6*H6/('مفروضات مشترک'!$B$25*160)</f>
        <v>3.36818666666667</v>
      </c>
      <c r="K6" s="21" t="n">
        <f aca="false">G6/1000/(D6*1000*'مفروضات مشترک'!$B$44)</f>
        <v>0.0168</v>
      </c>
      <c r="L6" s="2" t="s">
        <v>232</v>
      </c>
    </row>
    <row r="7" customFormat="false" ht="15" hidden="false" customHeight="false" outlineLevel="0" collapsed="false">
      <c r="B7" s="17" t="s">
        <v>233</v>
      </c>
      <c r="C7" s="10" t="n">
        <v>0.8</v>
      </c>
      <c r="D7" s="18" t="n">
        <f aca="false">C7*(1+'مفروضات مشترک'!$B$42)^'مفروضات مشترک'!$B$43</f>
        <v>1.65888</v>
      </c>
      <c r="E7" s="10" t="n">
        <v>30</v>
      </c>
      <c r="F7" s="19" t="n">
        <f aca="false">D7*1000*'مفروضات مشترک'!$B$41*'مفروضات مشترک'!$B$45</f>
        <v>46.44864</v>
      </c>
      <c r="G7" s="19" t="n">
        <f aca="false">F7*1000*سناریوها!$D$8*سناریوها!$D$9</f>
        <v>557.38368</v>
      </c>
      <c r="H7" s="20" t="n">
        <f aca="false">'مفروضات مشترک'!$B$34*(1-'مفروضات مشترک'!$B$32)+'مفروضات مشترک'!$B$35*'مفروضات مشترک'!$B$32+'مفروضات مشترک'!$B$36*F7/100</f>
        <v>22.1158912</v>
      </c>
      <c r="I7" s="13" t="n">
        <f aca="false">E7*G7</f>
        <v>16721.5104</v>
      </c>
      <c r="J7" s="20" t="n">
        <f aca="false">E7*H7/('مفروضات مشترک'!$B$25*160)</f>
        <v>6.911216</v>
      </c>
      <c r="K7" s="21" t="n">
        <f aca="false">G7/1000/(D7*1000*'مفروضات مشترک'!$B$44)</f>
        <v>0.0168</v>
      </c>
      <c r="L7" s="2" t="s">
        <v>234</v>
      </c>
    </row>
    <row r="8" customFormat="false" ht="15" hidden="false" customHeight="false" outlineLevel="0" collapsed="false">
      <c r="B8" s="3" t="s">
        <v>235</v>
      </c>
      <c r="E8" s="18" t="n">
        <f aca="false">SUM(E5:E7)</f>
        <v>41</v>
      </c>
      <c r="I8" s="13" t="n">
        <f aca="false">SUM(I5:I7)</f>
        <v>58803.97824</v>
      </c>
      <c r="J8" s="18" t="n">
        <f aca="false">SUM(J5:J7)</f>
        <v>11.9419429333333</v>
      </c>
      <c r="L8" s="2" t="s">
        <v>236</v>
      </c>
    </row>
    <row r="10" customFormat="false" ht="15" hidden="false" customHeight="false" outlineLevel="0" collapsed="false">
      <c r="B10" s="22" t="s">
        <v>237</v>
      </c>
      <c r="C10" s="22"/>
      <c r="D10" s="22"/>
      <c r="E10" s="22"/>
      <c r="F10" s="22"/>
      <c r="G10" s="22"/>
      <c r="H10" s="22"/>
      <c r="I10" s="22"/>
      <c r="J10" s="22"/>
      <c r="K10" s="22"/>
      <c r="L10" s="22"/>
    </row>
    <row r="11" customFormat="false" ht="16.4" hidden="false" customHeight="false" outlineLevel="0" collapsed="false">
      <c r="B11" s="23" t="s">
        <v>238</v>
      </c>
      <c r="C11" s="23"/>
      <c r="D11" s="23"/>
      <c r="E11" s="13" t="n">
        <f aca="false">I8</f>
        <v>58803.97824</v>
      </c>
      <c r="L11" s="2" t="s">
        <v>239</v>
      </c>
    </row>
    <row r="12" customFormat="false" ht="16.4" hidden="false" customHeight="false" outlineLevel="0" collapsed="false">
      <c r="B12" s="23" t="s">
        <v>240</v>
      </c>
      <c r="C12" s="23"/>
      <c r="D12" s="23"/>
      <c r="E12" s="13" t="n">
        <f aca="false">I5+I6</f>
        <v>42082.46784</v>
      </c>
      <c r="L12" s="2" t="s">
        <v>241</v>
      </c>
    </row>
    <row r="13" customFormat="false" ht="15" hidden="false" customHeight="false" outlineLevel="0" collapsed="false">
      <c r="B13" s="23" t="s">
        <v>242</v>
      </c>
      <c r="C13" s="23"/>
      <c r="D13" s="23"/>
      <c r="E13" s="18" t="n">
        <f aca="false">J8</f>
        <v>11.9419429333333</v>
      </c>
      <c r="L13" s="2" t="s">
        <v>243</v>
      </c>
    </row>
    <row r="14" customFormat="false" ht="16.4" hidden="false" customHeight="false" outlineLevel="0" collapsed="false">
      <c r="B14" s="23" t="s">
        <v>244</v>
      </c>
      <c r="C14" s="23"/>
      <c r="D14" s="23"/>
      <c r="E14" s="21" t="n">
        <f aca="false">IF(I8=0,0,I5/I8)</f>
        <v>0.360189573459716</v>
      </c>
      <c r="L14" s="2" t="s">
        <v>245</v>
      </c>
    </row>
    <row r="15" customFormat="false" ht="16.4" hidden="false" customHeight="false" outlineLevel="0" collapsed="false">
      <c r="B15" s="23" t="s">
        <v>246</v>
      </c>
      <c r="C15" s="23"/>
      <c r="D15" s="23"/>
      <c r="E15" s="18" t="n">
        <f aca="false">'اقتصاد واحد'!$D$25</f>
        <v>2060.8214024454</v>
      </c>
      <c r="L15" s="2" t="s">
        <v>247</v>
      </c>
    </row>
    <row r="17" customFormat="false" ht="15" hidden="false" customHeight="false" outlineLevel="0" collapsed="false">
      <c r="B17" s="22" t="s">
        <v>248</v>
      </c>
      <c r="C17" s="22"/>
      <c r="D17" s="22"/>
      <c r="E17" s="22"/>
      <c r="F17" s="22"/>
      <c r="G17" s="22"/>
      <c r="H17" s="22"/>
      <c r="I17" s="22"/>
      <c r="J17" s="22"/>
      <c r="K17" s="22"/>
      <c r="L17" s="22"/>
    </row>
    <row r="18" customFormat="false" ht="15" hidden="false" customHeight="false" outlineLevel="0" collapsed="false">
      <c r="B18" s="14" t="s">
        <v>249</v>
      </c>
      <c r="C18" s="14"/>
      <c r="D18" s="14"/>
      <c r="E18" s="14"/>
      <c r="F18" s="14"/>
      <c r="G18" s="14"/>
      <c r="H18" s="14"/>
      <c r="I18" s="14"/>
      <c r="J18" s="14"/>
      <c r="K18" s="14"/>
      <c r="L18" s="14"/>
    </row>
    <row r="19" customFormat="false" ht="15" hidden="false" customHeight="false" outlineLevel="0" collapsed="false">
      <c r="B19" s="14" t="s">
        <v>250</v>
      </c>
      <c r="C19" s="14"/>
      <c r="D19" s="14"/>
      <c r="E19" s="14"/>
      <c r="F19" s="14"/>
      <c r="G19" s="14"/>
      <c r="H19" s="14"/>
      <c r="I19" s="14"/>
      <c r="J19" s="14"/>
      <c r="K19" s="14"/>
      <c r="L19" s="14"/>
    </row>
  </sheetData>
  <mergeCells count="9">
    <mergeCell ref="B10:L10"/>
    <mergeCell ref="B11:D11"/>
    <mergeCell ref="B12:D12"/>
    <mergeCell ref="B13:D13"/>
    <mergeCell ref="B14:D14"/>
    <mergeCell ref="B15:D15"/>
    <mergeCell ref="B17:L17"/>
    <mergeCell ref="B18:L18"/>
    <mergeCell ref="B19:L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4"/>
    <col collapsed="false" customWidth="true" hidden="false" outlineLevel="0" max="5" min="3" style="0" width="15"/>
    <col collapsed="false" customWidth="true" hidden="false" outlineLevel="0" max="6" min="6" style="0" width="46"/>
  </cols>
  <sheetData>
    <row r="1" customFormat="false" ht="16.15" hidden="false" customHeight="false" outlineLevel="0" collapsed="false">
      <c r="A1" s="1" t="s">
        <v>251</v>
      </c>
    </row>
    <row r="2" customFormat="false" ht="15" hidden="false" customHeight="false" outlineLevel="0" collapsed="false">
      <c r="A2" s="2" t="s">
        <v>252</v>
      </c>
    </row>
    <row r="4" customFormat="false" ht="16.4" hidden="false" customHeight="false" outlineLevel="0" collapsed="false">
      <c r="A4" s="5"/>
      <c r="B4" s="5" t="s">
        <v>174</v>
      </c>
      <c r="C4" s="5" t="s">
        <v>186</v>
      </c>
      <c r="D4" s="5" t="s">
        <v>187</v>
      </c>
      <c r="E4" s="5" t="s">
        <v>188</v>
      </c>
      <c r="F4" s="5" t="s">
        <v>253</v>
      </c>
    </row>
    <row r="5" customFormat="false" ht="15" hidden="false" customHeight="false" outlineLevel="0" collapsed="false">
      <c r="B5" s="6" t="s">
        <v>254</v>
      </c>
      <c r="C5" s="6"/>
      <c r="D5" s="6"/>
      <c r="E5" s="6"/>
      <c r="F5" s="6"/>
    </row>
    <row r="6" customFormat="false" ht="15" hidden="false" customHeight="false" outlineLevel="0" collapsed="false">
      <c r="B6" s="4" t="s">
        <v>255</v>
      </c>
      <c r="C6" s="20" t="n">
        <f aca="false">سناریوها!$C$6</f>
        <v>46.44864</v>
      </c>
      <c r="D6" s="20" t="n">
        <f aca="false">سناریوها!$D$6</f>
        <v>174.1824</v>
      </c>
      <c r="E6" s="20" t="n">
        <f aca="false">سناریوها!$E$6</f>
        <v>1765.04832</v>
      </c>
      <c r="F6" s="2" t="s">
        <v>256</v>
      </c>
    </row>
    <row r="7" customFormat="false" ht="15" hidden="false" customHeight="false" outlineLevel="0" collapsed="false">
      <c r="B7" s="4" t="s">
        <v>257</v>
      </c>
      <c r="C7" s="19" t="n">
        <f aca="false">سناریوها!$C$6*1000*سناریوها!$C$8</f>
        <v>9289.728</v>
      </c>
      <c r="D7" s="19" t="n">
        <f aca="false">سناریوها!$D$6*1000*سناریوها!$D$8</f>
        <v>52254.72</v>
      </c>
      <c r="E7" s="19" t="n">
        <f aca="false">سناریوها!$E$6*1000*سناریوها!$E$8</f>
        <v>706019.328</v>
      </c>
      <c r="F7" s="2" t="s">
        <v>258</v>
      </c>
    </row>
    <row r="8" customFormat="false" ht="16.4" hidden="false" customHeight="false" outlineLevel="0" collapsed="false">
      <c r="B8" s="4" t="s">
        <v>259</v>
      </c>
      <c r="C8" s="13" t="n">
        <f aca="false">C7*سناریوها!$C$9</f>
        <v>278.69184</v>
      </c>
      <c r="D8" s="13" t="n">
        <f aca="false">D7*سناریوها!$D$9</f>
        <v>2090.1888</v>
      </c>
      <c r="E8" s="13" t="n">
        <f aca="false">E7*سناریوها!$E$9</f>
        <v>35300.9664</v>
      </c>
      <c r="F8" s="2" t="s">
        <v>260</v>
      </c>
    </row>
    <row r="9" customFormat="false" ht="15" hidden="false" customHeight="false" outlineLevel="0" collapsed="false">
      <c r="B9" s="4" t="s">
        <v>261</v>
      </c>
      <c r="C9" s="24" t="n">
        <f aca="false">C8/(سناریوها!$C$6*1000)</f>
        <v>0.006</v>
      </c>
      <c r="D9" s="24" t="n">
        <f aca="false">D8/(سناریوها!$D$6*1000)</f>
        <v>0.012</v>
      </c>
      <c r="E9" s="24" t="n">
        <f aca="false">E8/(سناریوها!$E$6*1000)</f>
        <v>0.02</v>
      </c>
      <c r="F9" s="2" t="s">
        <v>262</v>
      </c>
    </row>
    <row r="10" customFormat="false" ht="16.4" hidden="false" customHeight="false" outlineLevel="0" collapsed="false">
      <c r="B10" s="4" t="s">
        <v>263</v>
      </c>
      <c r="C10" s="4" t="str">
        <f aca="false">IF(C9&gt;0.05,"⚠ بالای سقف ۵٪ اعلام‌شدهٔ I-03",IF(C9&gt;0.016,"بالای لنگر ۱.۶٪ I-04 — نیازمند دفاع صریح","زیر لنگر ۱.۶٪ I-04"))</f>
        <v>زیر لنگر ۱.۶٪ I-04</v>
      </c>
      <c r="D10" s="4" t="str">
        <f aca="false">IF(D9&gt;0.05,"⚠ بالای سقف ۵٪ اعلام‌شدهٔ I-03",IF(D9&gt;0.016,"بالای لنگر ۱.۶٪ I-04 — نیازمند دفاع صریح","زیر لنگر ۱.۶٪ I-04"))</f>
        <v>زیر لنگر ۱.۶٪ I-04</v>
      </c>
      <c r="E10" s="4" t="str">
        <f aca="false">IF(E9&gt;0.05,"⚠ بالای سقف ۵٪ اعلام‌شدهٔ I-03",IF(E9&gt;0.016,"بالای لنگر ۱.۶٪ I-04 — نیازمند دفاع صریح","زیر لنگر ۱.۶٪ I-04"))</f>
        <v>بالای لنگر ۱.۶٪ I-04 — نیازمند دفاع صریح</v>
      </c>
      <c r="F10" s="2" t="s">
        <v>264</v>
      </c>
    </row>
    <row r="11" customFormat="false" ht="15" hidden="false" customHeight="false" outlineLevel="0" collapsed="false">
      <c r="B11" s="4" t="s">
        <v>265</v>
      </c>
      <c r="C11" s="19" t="n">
        <f aca="false">C8/12</f>
        <v>23.22432</v>
      </c>
      <c r="D11" s="19" t="n">
        <f aca="false">D8/12</f>
        <v>174.1824</v>
      </c>
      <c r="E11" s="19" t="n">
        <f aca="false">E8/12</f>
        <v>2941.7472</v>
      </c>
      <c r="F11" s="2" t="s">
        <v>266</v>
      </c>
    </row>
    <row r="12" customFormat="false" ht="15" hidden="false" customHeight="false" outlineLevel="0" collapsed="false">
      <c r="B12" s="4" t="s">
        <v>267</v>
      </c>
      <c r="C12" s="19" t="n">
        <f aca="false">'مفروضات مشترک'!$B$31*'مفروضات مشترک'!$B$32+'مفروضات مشترک'!$B$30*(1-'مفروضات مشترک'!$B$32)</f>
        <v>225</v>
      </c>
      <c r="D12" s="19" t="n">
        <f aca="false">'مفروضات مشترک'!$B$31*'مفروضات مشترک'!$B$32+'مفروضات مشترک'!$B$30*(1-'مفروضات مشترک'!$B$32)</f>
        <v>225</v>
      </c>
      <c r="E12" s="19" t="n">
        <f aca="false">'مفروضات مشترک'!$B$31*'مفروضات مشترک'!$B$32+'مفروضات مشترک'!$B$30*(1-'مفروضات مشترک'!$B$32)</f>
        <v>225</v>
      </c>
      <c r="F12" s="2" t="s">
        <v>268</v>
      </c>
    </row>
    <row r="13" customFormat="false" ht="15" hidden="false" customHeight="false" outlineLevel="0" collapsed="false">
      <c r="B13" s="6" t="s">
        <v>269</v>
      </c>
      <c r="C13" s="6"/>
      <c r="D13" s="6"/>
      <c r="E13" s="6"/>
      <c r="F13" s="6"/>
    </row>
    <row r="14" customFormat="false" ht="16.4" hidden="false" customHeight="false" outlineLevel="0" collapsed="false">
      <c r="B14" s="4" t="s">
        <v>270</v>
      </c>
      <c r="C14" s="20" t="n">
        <f aca="false">'مفروضات مشترک'!$B$35*'مفروضات مشترک'!$B$32+'مفروضات مشترک'!$B$34*(1-'مفروضات مشترک'!$B$32)</f>
        <v>18.4</v>
      </c>
      <c r="D14" s="20" t="n">
        <f aca="false">'مفروضات مشترک'!$B$35*'مفروضات مشترک'!$B$32+'مفروضات مشترک'!$B$34*(1-'مفروضات مشترک'!$B$32)</f>
        <v>18.4</v>
      </c>
      <c r="E14" s="20" t="n">
        <f aca="false">'مفروضات مشترک'!$B$35*'مفروضات مشترک'!$B$32+'مفروضات مشترک'!$B$34*(1-'مفروضات مشترک'!$B$32)</f>
        <v>18.4</v>
      </c>
      <c r="F14" s="2" t="s">
        <v>271</v>
      </c>
    </row>
    <row r="15" customFormat="false" ht="16.4" hidden="false" customHeight="false" outlineLevel="0" collapsed="false">
      <c r="B15" s="4" t="s">
        <v>272</v>
      </c>
      <c r="C15" s="20" t="n">
        <f aca="false">C14+'مفروضات مشترک'!$B$36*C6/100</f>
        <v>22.1158912</v>
      </c>
      <c r="D15" s="20" t="n">
        <f aca="false">D14+'مفروضات مشترک'!$B$36*D6/100</f>
        <v>32.334592</v>
      </c>
      <c r="E15" s="20" t="n">
        <f aca="false">E14+'مفروضات مشترک'!$B$36*E6/100</f>
        <v>159.6038656</v>
      </c>
      <c r="F15" s="2" t="s">
        <v>273</v>
      </c>
    </row>
    <row r="16" customFormat="false" ht="15" hidden="false" customHeight="false" outlineLevel="0" collapsed="false">
      <c r="B16" s="4" t="s">
        <v>274</v>
      </c>
      <c r="C16" s="19" t="n">
        <f aca="false">C15/160*'مفروضات مشترک'!$B$53</f>
        <v>24.5117794133333</v>
      </c>
      <c r="D16" s="19" t="n">
        <f aca="false">D15/160*'مفروضات مشترک'!$B$53</f>
        <v>35.8375061333333</v>
      </c>
      <c r="E16" s="19" t="n">
        <f aca="false">E15/160*'مفروضات مشترک'!$B$53</f>
        <v>176.894284373333</v>
      </c>
      <c r="F16" s="2" t="s">
        <v>275</v>
      </c>
    </row>
    <row r="17" customFormat="false" ht="15" hidden="false" customHeight="false" outlineLevel="0" collapsed="false">
      <c r="B17" s="4" t="s">
        <v>276</v>
      </c>
      <c r="C17" s="19" t="n">
        <f aca="false">'مفروضات مشترک'!$B$38*'مفروضات مشترک'!$B$32+'مفروضات مشترک'!$B$37*(1-'مفروضات مشترک'!$B$32)</f>
        <v>5.9</v>
      </c>
      <c r="D17" s="19" t="n">
        <f aca="false">'مفروضات مشترک'!$B$38*'مفروضات مشترک'!$B$32+'مفروضات مشترک'!$B$37*(1-'مفروضات مشترک'!$B$32)</f>
        <v>5.9</v>
      </c>
      <c r="E17" s="19" t="n">
        <f aca="false">'مفروضات مشترک'!$B$38*'مفروضات مشترک'!$B$32+'مفروضات مشترک'!$B$37*(1-'مفروضات مشترک'!$B$32)</f>
        <v>5.9</v>
      </c>
      <c r="F17" s="2" t="s">
        <v>277</v>
      </c>
    </row>
    <row r="18" customFormat="false" ht="15" hidden="false" customHeight="false" outlineLevel="0" collapsed="false">
      <c r="B18" s="4" t="s">
        <v>278</v>
      </c>
      <c r="C18" s="19" t="n">
        <f aca="false">C16+C17</f>
        <v>30.4117794133333</v>
      </c>
      <c r="D18" s="19" t="n">
        <f aca="false">D16+D17</f>
        <v>41.7375061333333</v>
      </c>
      <c r="E18" s="19" t="n">
        <f aca="false">E16+E17</f>
        <v>182.794284373333</v>
      </c>
      <c r="F18" s="2" t="s">
        <v>279</v>
      </c>
    </row>
    <row r="19" customFormat="false" ht="15" hidden="false" customHeight="false" outlineLevel="0" collapsed="false">
      <c r="B19" s="6" t="s">
        <v>280</v>
      </c>
      <c r="C19" s="6"/>
      <c r="D19" s="6"/>
      <c r="E19" s="6"/>
      <c r="F19" s="6"/>
    </row>
    <row r="20" customFormat="false" ht="15" hidden="false" customHeight="false" outlineLevel="0" collapsed="false">
      <c r="B20" s="4" t="s">
        <v>281</v>
      </c>
      <c r="C20" s="13" t="n">
        <f aca="false">C11-C18</f>
        <v>-7.18745941333333</v>
      </c>
      <c r="D20" s="13" t="n">
        <f aca="false">D11-D18</f>
        <v>132.444893866667</v>
      </c>
      <c r="E20" s="13" t="n">
        <f aca="false">E11-E18</f>
        <v>2758.95291562667</v>
      </c>
      <c r="F20" s="2" t="s">
        <v>282</v>
      </c>
    </row>
    <row r="21" customFormat="false" ht="15" hidden="false" customHeight="false" outlineLevel="0" collapsed="false">
      <c r="B21" s="4" t="s">
        <v>283</v>
      </c>
      <c r="C21" s="25" t="n">
        <f aca="false">IF(C11=0,0,C20/C11)</f>
        <v>-0.30947986478542</v>
      </c>
      <c r="D21" s="25" t="n">
        <f aca="false">IF(D11=0,0,D20/D11)</f>
        <v>0.760380462473055</v>
      </c>
      <c r="E21" s="25" t="n">
        <f aca="false">IF(E11=0,0,E20/E11)</f>
        <v>0.937862001067483</v>
      </c>
      <c r="F21" s="2" t="s">
        <v>284</v>
      </c>
    </row>
    <row r="22" customFormat="false" ht="15" hidden="false" customHeight="false" outlineLevel="0" collapsed="false">
      <c r="B22" s="4" t="s">
        <v>285</v>
      </c>
      <c r="C22" s="4" t="str">
        <f aca="false">IF(C21&gt;=0.5,"عبور","⚠ زیر هدف ۵۰٪")</f>
        <v>⚠ زیر هدف ۵۰٪</v>
      </c>
      <c r="D22" s="4" t="str">
        <f aca="false">IF(D21&gt;=0.5,"عبور","⚠ زیر هدف ۵۰٪")</f>
        <v>عبور</v>
      </c>
      <c r="E22" s="4" t="str">
        <f aca="false">IF(E21&gt;=0.5,"عبور","⚠ زیر هدف ۵۰٪")</f>
        <v>عبور</v>
      </c>
      <c r="F22" s="2" t="s">
        <v>286</v>
      </c>
    </row>
    <row r="23" customFormat="false" ht="15" hidden="false" customHeight="false" outlineLevel="0" collapsed="false">
      <c r="B23" s="4" t="s">
        <v>287</v>
      </c>
      <c r="C23" s="26" t="n">
        <f aca="false">IF((1000*سناریوها!$C$8*سناریوها!$C$9/12-'مفروضات مشترک'!$B$36*'مفروضات مشترک'!$B$53/16000)&lt;=0,"با این نرخ قیمت هیچ اندازه‌ای جواب نمی‌دهد",2*(C14*'مفروضات مشترک'!$B$53/160+C17)/(1000*سناریوها!$C$8*سناریوها!$C$9/12-'مفروضات مشترک'!$B$36*'مفروضات مشترک'!$B$53/16000))</f>
        <v>127.844408427877</v>
      </c>
      <c r="D23" s="26" t="n">
        <f aca="false">IF((1000*سناریوها!$D$8*سناریوها!$D$9/12-'مفروضات مشترک'!$B$36*'مفروضات مشترک'!$B$53/16000)&lt;=0,"با این نرخ قیمت هیچ اندازه‌ای جواب نمی‌دهد",2*(D14*'مفروضات مشترک'!$B$53/160+D17)/(1000*سناریوها!$D$8*سناریوها!$D$9/12-'مفروضات مشترک'!$B$36*'مفروضات مشترک'!$B$53/16000))</f>
        <v>57.7029992684711</v>
      </c>
      <c r="E23" s="26" t="n">
        <f aca="false">IF((1000*سناریوها!$E$8*سناریوها!$E$9/12-'مفروضات مشترک'!$B$36*'مفروضات مشترک'!$B$53/16000)&lt;=0,"با این نرخ قیمت هیچ اندازه‌ای جواب نمی‌دهد",2*(E14*'مفروضات مشترک'!$B$53/160+E17)/(1000*سناریوها!$E$8*سناریوها!$E$9/12-'مفروضات مشترک'!$B$36*'مفروضات مشترک'!$B$53/16000))</f>
        <v>33.3248838191804</v>
      </c>
      <c r="F23" s="2" t="s">
        <v>288</v>
      </c>
    </row>
    <row r="24" customFormat="false" ht="15" hidden="false" customHeight="false" outlineLevel="0" collapsed="false">
      <c r="B24" s="4" t="s">
        <v>289</v>
      </c>
      <c r="C24" s="20" t="n">
        <f aca="false">C6/'مفروضات مشترک'!$B$45/'مفروضات مشترک'!$B$41</f>
        <v>1658.88</v>
      </c>
      <c r="D24" s="20" t="n">
        <f aca="false">D6/'مفروضات مشترک'!$B$45/'مفروضات مشترک'!$B$41</f>
        <v>6220.8</v>
      </c>
      <c r="E24" s="20" t="n">
        <f aca="false">E6/'مفروضات مشترک'!$B$45/'مفروضات مشترک'!$B$41</f>
        <v>63037.44</v>
      </c>
      <c r="F24" s="2" t="s">
        <v>290</v>
      </c>
    </row>
    <row r="25" customFormat="false" ht="16.4" hidden="false" customHeight="false" outlineLevel="0" collapsed="false">
      <c r="B25" s="4" t="s">
        <v>291</v>
      </c>
      <c r="C25" s="26" t="n">
        <f aca="false">IF(ISNUMBER(C23),C23/'مفروضات مشترک'!$B$45/'مفروضات مشترک'!$B$41,"—")</f>
        <v>4565.87172956703</v>
      </c>
      <c r="D25" s="26" t="n">
        <f aca="false">IF(ISNUMBER(D23),D23/'مفروضات مشترک'!$B$45/'مفروضات مشترک'!$B$41,"—")</f>
        <v>2060.8214024454</v>
      </c>
      <c r="E25" s="26" t="n">
        <f aca="false">IF(ISNUMBER(E23),E23/'مفروضات مشترک'!$B$45/'مفروضات مشترک'!$B$41,"—")</f>
        <v>1190.17442211359</v>
      </c>
      <c r="F25" s="2" t="s">
        <v>292</v>
      </c>
    </row>
    <row r="26" customFormat="false" ht="15" hidden="false" customHeight="false" outlineLevel="0" collapsed="false">
      <c r="B26" s="4" t="s">
        <v>293</v>
      </c>
      <c r="C26" s="4" t="str">
        <f aca="false">IF(ISNUMBER(C23),IF(C6&gt;=C23,"بله","⚠ نه — این مشتری زیر آستانهٔ اقتصادی است"),"—")</f>
        <v>⚠ نه — این مشتری زیر آستانهٔ اقتصادی است</v>
      </c>
      <c r="D26" s="4" t="str">
        <f aca="false">IF(ISNUMBER(D23),IF(D6&gt;=D23,"بله","⚠ نه — این مشتری زیر آستانهٔ اقتصادی است"),"—")</f>
        <v>بله</v>
      </c>
      <c r="E26" s="4" t="str">
        <f aca="false">IF(ISNUMBER(E23),IF(E6&gt;=E23,"بله","⚠ نه — این مشتری زیر آستانهٔ اقتصادی است"),"—")</f>
        <v>بله</v>
      </c>
      <c r="F26" s="2" t="s">
        <v>294</v>
      </c>
    </row>
    <row r="27" customFormat="false" ht="15" hidden="false" customHeight="false" outlineLevel="0" collapsed="false">
      <c r="B27" s="6" t="s">
        <v>295</v>
      </c>
      <c r="C27" s="6"/>
      <c r="D27" s="6"/>
      <c r="E27" s="6"/>
      <c r="F27" s="6"/>
    </row>
    <row r="28" customFormat="false" ht="15" hidden="false" customHeight="false" outlineLevel="0" collapsed="false">
      <c r="B28" s="4" t="s">
        <v>296</v>
      </c>
      <c r="C28" s="19" t="n">
        <f aca="false">'مفروضات مشترک'!$B$29/22*'مفروضات مشترک'!$B$53</f>
        <v>161.212121212121</v>
      </c>
      <c r="D28" s="19" t="n">
        <f aca="false">'مفروضات مشترک'!$B$29/22*'مفروضات مشترک'!$B$53</f>
        <v>161.212121212121</v>
      </c>
      <c r="E28" s="19" t="n">
        <f aca="false">'مفروضات مشترک'!$B$29/22*'مفروضات مشترک'!$B$53</f>
        <v>161.212121212121</v>
      </c>
      <c r="F28" s="2" t="s">
        <v>297</v>
      </c>
    </row>
    <row r="29" customFormat="false" ht="15" hidden="false" customHeight="false" outlineLevel="0" collapsed="false">
      <c r="B29" s="4" t="s">
        <v>298</v>
      </c>
      <c r="C29" s="19" t="n">
        <f aca="false">C12-C28</f>
        <v>63.7878787878788</v>
      </c>
      <c r="D29" s="19" t="n">
        <f aca="false">D12-D28</f>
        <v>63.7878787878788</v>
      </c>
      <c r="E29" s="19" t="n">
        <f aca="false">E12-E28</f>
        <v>63.7878787878788</v>
      </c>
      <c r="F29" s="2" t="s">
        <v>299</v>
      </c>
    </row>
    <row r="30" customFormat="false" ht="15" hidden="false" customHeight="false" outlineLevel="0" collapsed="false">
      <c r="B30" s="4" t="s">
        <v>300</v>
      </c>
      <c r="C30" s="19" t="n">
        <f aca="false">'مفروضات مشترک'!$B$39</f>
        <v>60</v>
      </c>
      <c r="D30" s="19" t="n">
        <f aca="false">'مفروضات مشترک'!$B$39</f>
        <v>60</v>
      </c>
      <c r="E30" s="19" t="n">
        <f aca="false">'مفروضات مشترک'!$B$39</f>
        <v>60</v>
      </c>
      <c r="F30" s="2" t="s">
        <v>301</v>
      </c>
    </row>
    <row r="31" customFormat="false" ht="15" hidden="false" customHeight="false" outlineLevel="0" collapsed="false">
      <c r="B31" s="4" t="s">
        <v>302</v>
      </c>
      <c r="C31" s="19" t="n">
        <f aca="false">C30-C29</f>
        <v>-3.78787878787878</v>
      </c>
      <c r="D31" s="19" t="n">
        <f aca="false">D30-D29</f>
        <v>-3.78787878787878</v>
      </c>
      <c r="E31" s="19" t="n">
        <f aca="false">E30-E29</f>
        <v>-3.78787878787878</v>
      </c>
      <c r="F31" s="2" t="s">
        <v>303</v>
      </c>
    </row>
    <row r="32" customFormat="false" ht="15" hidden="false" customHeight="false" outlineLevel="0" collapsed="false">
      <c r="B32" s="4" t="s">
        <v>304</v>
      </c>
      <c r="C32" s="20" t="str">
        <f aca="false">IF(C20&lt;=0,"بازنمی‌گردد",IF(C31&lt;=0,0,C31/C20))</f>
        <v>بازنمی‌گردد</v>
      </c>
      <c r="D32" s="20" t="n">
        <f aca="false">IF(D20&lt;=0,"بازنمی‌گردد",IF(D31&lt;=0,0,D31/D20))</f>
        <v>0</v>
      </c>
      <c r="E32" s="20" t="n">
        <f aca="false">IF(E20&lt;=0,"بازنمی‌گردد",IF(E31&lt;=0,0,E31/E20))</f>
        <v>0</v>
      </c>
      <c r="F32" s="2" t="s">
        <v>305</v>
      </c>
    </row>
    <row r="33" customFormat="false" ht="16.4" hidden="false" customHeight="false" outlineLevel="0" collapsed="false">
      <c r="B33" s="4" t="s">
        <v>306</v>
      </c>
      <c r="C33" s="19" t="n">
        <f aca="false">IF(سناریوها!$C$16=0,"—",C20*12/سناریوها!$C$16)</f>
        <v>-344.99805184</v>
      </c>
      <c r="D33" s="19" t="n">
        <f aca="false">IF(سناریوها!$D$16=0,"—",D20*12/سناریوها!$D$16)</f>
        <v>10595.5915093333</v>
      </c>
      <c r="E33" s="19" t="n">
        <f aca="false">IF(سناریوها!$E$16=0,"—",E20*12/سناریوها!$E$16)</f>
        <v>331074.3498752</v>
      </c>
      <c r="F33" s="2" t="s">
        <v>307</v>
      </c>
    </row>
    <row r="34" customFormat="false" ht="16.4" hidden="false" customHeight="false" outlineLevel="0" collapsed="false">
      <c r="B34" s="4" t="s">
        <v>308</v>
      </c>
      <c r="C34" s="20" t="n">
        <f aca="false">IF(C30=0,"—",C33/C30)</f>
        <v>-5.74996753066667</v>
      </c>
      <c r="D34" s="20" t="n">
        <f aca="false">IF(D30=0,"—",D33/D30)</f>
        <v>176.593191822222</v>
      </c>
      <c r="E34" s="20" t="n">
        <f aca="false">IF(E30=0,"—",E33/E30)</f>
        <v>5517.90583125333</v>
      </c>
      <c r="F34" s="2" t="s">
        <v>309</v>
      </c>
    </row>
    <row r="35" customFormat="false" ht="16.4" hidden="false" customHeight="false" outlineLevel="0" collapsed="false">
      <c r="B35" s="4" t="s">
        <v>310</v>
      </c>
      <c r="C35" s="4" t="str">
        <f aca="false">IF(C34&gt;50,"⚠ این عدد در گزارش نقل نمی‌شود — محدودیت واقعی ظرفیت تحویل است، نه هزینهٔ جذب",IF(C34&lt;3,"⚠ زیر ۳ برابر","در دامنهٔ معنادار"))</f>
        <v>⚠ زیر ۳ برابر</v>
      </c>
      <c r="D35" s="4" t="str">
        <f aca="false">IF(D34&gt;50,"⚠ این عدد در گزارش نقل نمی‌شود — محدودیت واقعی ظرفیت تحویل است، نه هزینهٔ جذب",IF(D34&lt;3,"⚠ زیر ۳ برابر","در دامنهٔ معنادار"))</f>
        <v>⚠ این عدد در گزارش نقل نمی‌شود — محدودیت واقعی ظرفیت تحویل است، نه هزینهٔ جذب</v>
      </c>
      <c r="E35" s="4" t="str">
        <f aca="false">IF(E34&gt;50,"⚠ این عدد در گزارش نقل نمی‌شود — محدودیت واقعی ظرفیت تحویل است، نه هزینهٔ جذب",IF(E34&lt;3,"⚠ زیر ۳ برابر","در دامنهٔ معنادار"))</f>
        <v>⚠ این عدد در گزارش نقل نمی‌شود — محدودیت واقعی ظرفیت تحویل است، نه هزینهٔ جذب</v>
      </c>
      <c r="F35" s="2" t="s">
        <v>311</v>
      </c>
    </row>
    <row r="36" customFormat="false" ht="18.65" hidden="false" customHeight="false" outlineLevel="0" collapsed="false">
      <c r="B36" s="6" t="s">
        <v>312</v>
      </c>
      <c r="C36" s="6"/>
      <c r="D36" s="6"/>
      <c r="E36" s="6"/>
      <c r="F36" s="6"/>
    </row>
    <row r="37" customFormat="false" ht="16.4" hidden="false" customHeight="false" outlineLevel="0" collapsed="false">
      <c r="B37" s="4" t="s">
        <v>313</v>
      </c>
      <c r="C37" s="19" t="n">
        <f aca="false">'مفروضات مشترک'!$B$47/'مفروضات مشترک'!$B$48*'مفروضات مشترک'!$B$32</f>
        <v>150</v>
      </c>
      <c r="D37" s="19" t="n">
        <f aca="false">'مفروضات مشترک'!$B$47/'مفروضات مشترک'!$B$48*'مفروضات مشترک'!$B$32</f>
        <v>150</v>
      </c>
      <c r="E37" s="19" t="n">
        <f aca="false">'مفروضات مشترک'!$B$47/'مفروضات مشترک'!$B$48*'مفروضات مشترک'!$B$32</f>
        <v>150</v>
      </c>
      <c r="F37" s="2" t="s">
        <v>314</v>
      </c>
    </row>
    <row r="38" customFormat="false" ht="16.4" hidden="false" customHeight="false" outlineLevel="0" collapsed="false">
      <c r="B38" s="4" t="s">
        <v>315</v>
      </c>
      <c r="C38" s="19" t="n">
        <f aca="false">C8+C12+C37</f>
        <v>653.69184</v>
      </c>
      <c r="D38" s="19" t="n">
        <f aca="false">D8+D12+D37</f>
        <v>2465.1888</v>
      </c>
      <c r="E38" s="19" t="n">
        <f aca="false">E8+E12+E37</f>
        <v>35675.9664</v>
      </c>
      <c r="F38" s="2" t="s">
        <v>316</v>
      </c>
    </row>
    <row r="39" customFormat="false" ht="16.4" hidden="false" customHeight="false" outlineLevel="0" collapsed="false">
      <c r="B39" s="4" t="s">
        <v>317</v>
      </c>
      <c r="C39" s="24" t="n">
        <f aca="false">C38/(سناریوها!$C$6*1000)</f>
        <v>0.0140734333664021</v>
      </c>
      <c r="D39" s="24" t="n">
        <f aca="false">D38/(سناریوها!$D$6*1000)</f>
        <v>0.0141529155643739</v>
      </c>
      <c r="E39" s="24" t="n">
        <f aca="false">E38/(سناریوها!$E$6*1000)</f>
        <v>0.0202124587728001</v>
      </c>
      <c r="F39" s="2" t="s">
        <v>318</v>
      </c>
    </row>
  </sheetData>
  <mergeCells count="5">
    <mergeCell ref="B5:F5"/>
    <mergeCell ref="B13:F13"/>
    <mergeCell ref="B19:F19"/>
    <mergeCell ref="B27:F27"/>
    <mergeCell ref="B36: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5" min="2" style="0" width="9"/>
  </cols>
  <sheetData>
    <row r="1" customFormat="false" ht="16.15" hidden="false" customHeight="false" outlineLevel="0" collapsed="false">
      <c r="A1" s="1" t="s">
        <v>319</v>
      </c>
    </row>
    <row r="2" customFormat="false" ht="15" hidden="false" customHeight="false" outlineLevel="0" collapsed="false">
      <c r="A2" s="2" t="s">
        <v>320</v>
      </c>
    </row>
    <row r="4" customFormat="false" ht="16.4" hidden="false" customHeight="false" outlineLevel="0" collapsed="false">
      <c r="A4" s="5" t="s">
        <v>106</v>
      </c>
      <c r="B4" s="5" t="s">
        <v>321</v>
      </c>
      <c r="C4" s="5" t="s">
        <v>322</v>
      </c>
      <c r="D4" s="5" t="s">
        <v>323</v>
      </c>
      <c r="E4" s="5" t="s">
        <v>324</v>
      </c>
      <c r="F4" s="5" t="s">
        <v>325</v>
      </c>
      <c r="G4" s="5" t="s">
        <v>326</v>
      </c>
      <c r="H4" s="5" t="s">
        <v>327</v>
      </c>
      <c r="I4" s="5" t="s">
        <v>328</v>
      </c>
      <c r="J4" s="5" t="s">
        <v>329</v>
      </c>
      <c r="K4" s="5" t="s">
        <v>330</v>
      </c>
      <c r="L4" s="5" t="s">
        <v>331</v>
      </c>
      <c r="M4" s="5" t="s">
        <v>332</v>
      </c>
      <c r="N4" s="5" t="s">
        <v>333</v>
      </c>
      <c r="O4" s="5" t="s">
        <v>334</v>
      </c>
      <c r="P4" s="5" t="s">
        <v>335</v>
      </c>
      <c r="Q4" s="5" t="s">
        <v>336</v>
      </c>
      <c r="R4" s="5" t="s">
        <v>337</v>
      </c>
      <c r="S4" s="5" t="s">
        <v>338</v>
      </c>
      <c r="T4" s="5" t="s">
        <v>339</v>
      </c>
      <c r="U4" s="5" t="s">
        <v>340</v>
      </c>
      <c r="V4" s="5" t="s">
        <v>341</v>
      </c>
      <c r="W4" s="5" t="s">
        <v>342</v>
      </c>
      <c r="X4" s="5" t="s">
        <v>343</v>
      </c>
      <c r="Y4" s="5" t="s">
        <v>344</v>
      </c>
    </row>
    <row r="5" customFormat="false" ht="15" hidden="false" customHeight="false" outlineLevel="0" collapsed="false">
      <c r="A5" s="27" t="s">
        <v>345</v>
      </c>
      <c r="B5" s="28"/>
      <c r="C5" s="28"/>
      <c r="D5" s="28"/>
      <c r="E5" s="28"/>
      <c r="F5" s="28"/>
      <c r="G5" s="28"/>
      <c r="H5" s="28"/>
      <c r="I5" s="28"/>
      <c r="J5" s="28"/>
      <c r="K5" s="28"/>
      <c r="L5" s="28"/>
      <c r="M5" s="28"/>
      <c r="N5" s="28"/>
      <c r="O5" s="28"/>
      <c r="P5" s="28"/>
      <c r="Q5" s="28"/>
      <c r="R5" s="28"/>
      <c r="S5" s="28"/>
      <c r="T5" s="28"/>
      <c r="U5" s="28"/>
      <c r="V5" s="28"/>
      <c r="W5" s="28"/>
      <c r="X5" s="28"/>
      <c r="Y5" s="28"/>
    </row>
    <row r="6" customFormat="false" ht="15" hidden="false" customHeight="false" outlineLevel="0" collapsed="false">
      <c r="A6" s="4" t="s">
        <v>346</v>
      </c>
      <c r="B6" s="20" t="n">
        <f aca="false">(1+'مفروضات مشترک'!$B$10)^INT((1-1)/12)</f>
        <v>1</v>
      </c>
      <c r="C6" s="20" t="n">
        <f aca="false">(1+'مفروضات مشترک'!$B$10)^INT((2-1)/12)</f>
        <v>1</v>
      </c>
      <c r="D6" s="20" t="n">
        <f aca="false">(1+'مفروضات مشترک'!$B$10)^INT((3-1)/12)</f>
        <v>1</v>
      </c>
      <c r="E6" s="20" t="n">
        <f aca="false">(1+'مفروضات مشترک'!$B$10)^INT((4-1)/12)</f>
        <v>1</v>
      </c>
      <c r="F6" s="20" t="n">
        <f aca="false">(1+'مفروضات مشترک'!$B$10)^INT((5-1)/12)</f>
        <v>1</v>
      </c>
      <c r="G6" s="20" t="n">
        <f aca="false">(1+'مفروضات مشترک'!$B$10)^INT((6-1)/12)</f>
        <v>1</v>
      </c>
      <c r="H6" s="20" t="n">
        <f aca="false">(1+'مفروضات مشترک'!$B$10)^INT((7-1)/12)</f>
        <v>1</v>
      </c>
      <c r="I6" s="20" t="n">
        <f aca="false">(1+'مفروضات مشترک'!$B$10)^INT((8-1)/12)</f>
        <v>1</v>
      </c>
      <c r="J6" s="20" t="n">
        <f aca="false">(1+'مفروضات مشترک'!$B$10)^INT((9-1)/12)</f>
        <v>1</v>
      </c>
      <c r="K6" s="20" t="n">
        <f aca="false">(1+'مفروضات مشترک'!$B$10)^INT((10-1)/12)</f>
        <v>1</v>
      </c>
      <c r="L6" s="20" t="n">
        <f aca="false">(1+'مفروضات مشترک'!$B$10)^INT((11-1)/12)</f>
        <v>1</v>
      </c>
      <c r="M6" s="20" t="n">
        <f aca="false">(1+'مفروضات مشترک'!$B$10)^INT((12-1)/12)</f>
        <v>1</v>
      </c>
      <c r="N6" s="20" t="n">
        <f aca="false">(1+'مفروضات مشترک'!$B$10)^INT((13-1)/12)</f>
        <v>1.4</v>
      </c>
      <c r="O6" s="20" t="n">
        <f aca="false">(1+'مفروضات مشترک'!$B$10)^INT((14-1)/12)</f>
        <v>1.4</v>
      </c>
      <c r="P6" s="20" t="n">
        <f aca="false">(1+'مفروضات مشترک'!$B$10)^INT((15-1)/12)</f>
        <v>1.4</v>
      </c>
      <c r="Q6" s="20" t="n">
        <f aca="false">(1+'مفروضات مشترک'!$B$10)^INT((16-1)/12)</f>
        <v>1.4</v>
      </c>
      <c r="R6" s="20" t="n">
        <f aca="false">(1+'مفروضات مشترک'!$B$10)^INT((17-1)/12)</f>
        <v>1.4</v>
      </c>
      <c r="S6" s="20" t="n">
        <f aca="false">(1+'مفروضات مشترک'!$B$10)^INT((18-1)/12)</f>
        <v>1.4</v>
      </c>
      <c r="T6" s="20" t="n">
        <f aca="false">(1+'مفروضات مشترک'!$B$10)^INT((19-1)/12)</f>
        <v>1.4</v>
      </c>
      <c r="U6" s="20" t="n">
        <f aca="false">(1+'مفروضات مشترک'!$B$10)^INT((20-1)/12)</f>
        <v>1.4</v>
      </c>
      <c r="V6" s="20" t="n">
        <f aca="false">(1+'مفروضات مشترک'!$B$10)^INT((21-1)/12)</f>
        <v>1.4</v>
      </c>
      <c r="W6" s="20" t="n">
        <f aca="false">(1+'مفروضات مشترک'!$B$10)^INT((22-1)/12)</f>
        <v>1.4</v>
      </c>
      <c r="X6" s="20" t="n">
        <f aca="false">(1+'مفروضات مشترک'!$B$10)^INT((23-1)/12)</f>
        <v>1.4</v>
      </c>
      <c r="Y6" s="20" t="n">
        <f aca="false">(1+'مفروضات مشترک'!$B$10)^INT((24-1)/12)</f>
        <v>1.4</v>
      </c>
    </row>
    <row r="7" customFormat="false" ht="15" hidden="false" customHeight="false" outlineLevel="0" collapsed="false">
      <c r="A7" s="4" t="s">
        <v>347</v>
      </c>
      <c r="B7" s="20" t="n">
        <f aca="false">(1+سناریوها!$C$10)^INT((1-1)/12)</f>
        <v>1</v>
      </c>
      <c r="C7" s="20" t="n">
        <f aca="false">(1+سناریوها!$C$10)^INT((2-1)/12)</f>
        <v>1</v>
      </c>
      <c r="D7" s="20" t="n">
        <f aca="false">(1+سناریوها!$C$10)^INT((3-1)/12)</f>
        <v>1</v>
      </c>
      <c r="E7" s="20" t="n">
        <f aca="false">(1+سناریوها!$C$10)^INT((4-1)/12)</f>
        <v>1</v>
      </c>
      <c r="F7" s="20" t="n">
        <f aca="false">(1+سناریوها!$C$10)^INT((5-1)/12)</f>
        <v>1</v>
      </c>
      <c r="G7" s="20" t="n">
        <f aca="false">(1+سناریوها!$C$10)^INT((6-1)/12)</f>
        <v>1</v>
      </c>
      <c r="H7" s="20" t="n">
        <f aca="false">(1+سناریوها!$C$10)^INT((7-1)/12)</f>
        <v>1</v>
      </c>
      <c r="I7" s="20" t="n">
        <f aca="false">(1+سناریوها!$C$10)^INT((8-1)/12)</f>
        <v>1</v>
      </c>
      <c r="J7" s="20" t="n">
        <f aca="false">(1+سناریوها!$C$10)^INT((9-1)/12)</f>
        <v>1</v>
      </c>
      <c r="K7" s="20" t="n">
        <f aca="false">(1+سناریوها!$C$10)^INT((10-1)/12)</f>
        <v>1</v>
      </c>
      <c r="L7" s="20" t="n">
        <f aca="false">(1+سناریوها!$C$10)^INT((11-1)/12)</f>
        <v>1</v>
      </c>
      <c r="M7" s="20" t="n">
        <f aca="false">(1+سناریوها!$C$10)^INT((12-1)/12)</f>
        <v>1</v>
      </c>
      <c r="N7" s="20" t="n">
        <f aca="false">(1+سناریوها!$C$10)^INT((13-1)/12)</f>
        <v>1.3</v>
      </c>
      <c r="O7" s="20" t="n">
        <f aca="false">(1+سناریوها!$C$10)^INT((14-1)/12)</f>
        <v>1.3</v>
      </c>
      <c r="P7" s="20" t="n">
        <f aca="false">(1+سناریوها!$C$10)^INT((15-1)/12)</f>
        <v>1.3</v>
      </c>
      <c r="Q7" s="20" t="n">
        <f aca="false">(1+سناریوها!$C$10)^INT((16-1)/12)</f>
        <v>1.3</v>
      </c>
      <c r="R7" s="20" t="n">
        <f aca="false">(1+سناریوها!$C$10)^INT((17-1)/12)</f>
        <v>1.3</v>
      </c>
      <c r="S7" s="20" t="n">
        <f aca="false">(1+سناریوها!$C$10)^INT((18-1)/12)</f>
        <v>1.3</v>
      </c>
      <c r="T7" s="20" t="n">
        <f aca="false">(1+سناریوها!$C$10)^INT((19-1)/12)</f>
        <v>1.3</v>
      </c>
      <c r="U7" s="20" t="n">
        <f aca="false">(1+سناریوها!$C$10)^INT((20-1)/12)</f>
        <v>1.3</v>
      </c>
      <c r="V7" s="20" t="n">
        <f aca="false">(1+سناریوها!$C$10)^INT((21-1)/12)</f>
        <v>1.3</v>
      </c>
      <c r="W7" s="20" t="n">
        <f aca="false">(1+سناریوها!$C$10)^INT((22-1)/12)</f>
        <v>1.3</v>
      </c>
      <c r="X7" s="20" t="n">
        <f aca="false">(1+سناریوها!$C$10)^INT((23-1)/12)</f>
        <v>1.3</v>
      </c>
      <c r="Y7" s="20" t="n">
        <f aca="false">(1+سناریوها!$C$10)^INT((24-1)/12)</f>
        <v>1.3</v>
      </c>
    </row>
    <row r="8" customFormat="false" ht="15" hidden="false" customHeight="false" outlineLevel="0" collapsed="false">
      <c r="A8" s="4" t="s">
        <v>348</v>
      </c>
      <c r="B8" s="20" t="n">
        <f aca="false">IF(1&gt;='مفروضات مشترک'!$B$18,'مفروضات مشترک'!$B$15,IF(1&gt;='مفروضات مشترک'!$B$17,'مفروضات مشترک'!$B$14,IF(1&gt;='مفروضات مشترک'!$B$16,'مفروضات مشترک'!$B$13,0)))</f>
        <v>0</v>
      </c>
      <c r="C8" s="20" t="n">
        <f aca="false">IF(2&gt;='مفروضات مشترک'!$B$18,'مفروضات مشترک'!$B$15,IF(2&gt;='مفروضات مشترک'!$B$17,'مفروضات مشترک'!$B$14,IF(2&gt;='مفروضات مشترک'!$B$16,'مفروضات مشترک'!$B$13,0)))</f>
        <v>0</v>
      </c>
      <c r="D8" s="20" t="n">
        <f aca="false">IF(3&gt;='مفروضات مشترک'!$B$18,'مفروضات مشترک'!$B$15,IF(3&gt;='مفروضات مشترک'!$B$17,'مفروضات مشترک'!$B$14,IF(3&gt;='مفروضات مشترک'!$B$16,'مفروضات مشترک'!$B$13,0)))</f>
        <v>0</v>
      </c>
      <c r="E8" s="20" t="n">
        <f aca="false">IF(4&gt;='مفروضات مشترک'!$B$18,'مفروضات مشترک'!$B$15,IF(4&gt;='مفروضات مشترک'!$B$17,'مفروضات مشترک'!$B$14,IF(4&gt;='مفروضات مشترک'!$B$16,'مفروضات مشترک'!$B$13,0)))</f>
        <v>0</v>
      </c>
      <c r="F8" s="20" t="n">
        <f aca="false">IF(5&gt;='مفروضات مشترک'!$B$18,'مفروضات مشترک'!$B$15,IF(5&gt;='مفروضات مشترک'!$B$17,'مفروضات مشترک'!$B$14,IF(5&gt;='مفروضات مشترک'!$B$16,'مفروضات مشترک'!$B$13,0)))</f>
        <v>0</v>
      </c>
      <c r="G8" s="20" t="n">
        <f aca="false">IF(6&gt;='مفروضات مشترک'!$B$18,'مفروضات مشترک'!$B$15,IF(6&gt;='مفروضات مشترک'!$B$17,'مفروضات مشترک'!$B$14,IF(6&gt;='مفروضات مشترک'!$B$16,'مفروضات مشترک'!$B$13,0)))</f>
        <v>0.3</v>
      </c>
      <c r="H8" s="20" t="n">
        <f aca="false">IF(7&gt;='مفروضات مشترک'!$B$18,'مفروضات مشترک'!$B$15,IF(7&gt;='مفروضات مشترک'!$B$17,'مفروضات مشترک'!$B$14,IF(7&gt;='مفروضات مشترک'!$B$16,'مفروضات مشترک'!$B$13,0)))</f>
        <v>0.3</v>
      </c>
      <c r="I8" s="20" t="n">
        <f aca="false">IF(8&gt;='مفروضات مشترک'!$B$18,'مفروضات مشترک'!$B$15,IF(8&gt;='مفروضات مشترک'!$B$17,'مفروضات مشترک'!$B$14,IF(8&gt;='مفروضات مشترک'!$B$16,'مفروضات مشترک'!$B$13,0)))</f>
        <v>0.3</v>
      </c>
      <c r="J8" s="20" t="n">
        <f aca="false">IF(9&gt;='مفروضات مشترک'!$B$18,'مفروضات مشترک'!$B$15,IF(9&gt;='مفروضات مشترک'!$B$17,'مفروضات مشترک'!$B$14,IF(9&gt;='مفروضات مشترک'!$B$16,'مفروضات مشترک'!$B$13,0)))</f>
        <v>0.3</v>
      </c>
      <c r="K8" s="20" t="n">
        <f aca="false">IF(10&gt;='مفروضات مشترک'!$B$18,'مفروضات مشترک'!$B$15,IF(10&gt;='مفروضات مشترک'!$B$17,'مفروضات مشترک'!$B$14,IF(10&gt;='مفروضات مشترک'!$B$16,'مفروضات مشترک'!$B$13,0)))</f>
        <v>0.3</v>
      </c>
      <c r="L8" s="20" t="n">
        <f aca="false">IF(11&gt;='مفروضات مشترک'!$B$18,'مفروضات مشترک'!$B$15,IF(11&gt;='مفروضات مشترک'!$B$17,'مفروضات مشترک'!$B$14,IF(11&gt;='مفروضات مشترک'!$B$16,'مفروضات مشترک'!$B$13,0)))</f>
        <v>0.75</v>
      </c>
      <c r="M8" s="20" t="n">
        <f aca="false">IF(12&gt;='مفروضات مشترک'!$B$18,'مفروضات مشترک'!$B$15,IF(12&gt;='مفروضات مشترک'!$B$17,'مفروضات مشترک'!$B$14,IF(12&gt;='مفروضات مشترک'!$B$16,'مفروضات مشترک'!$B$13,0)))</f>
        <v>0.75</v>
      </c>
      <c r="N8" s="20" t="n">
        <f aca="false">IF(13&gt;='مفروضات مشترک'!$B$18,'مفروضات مشترک'!$B$15,IF(13&gt;='مفروضات مشترک'!$B$17,'مفروضات مشترک'!$B$14,IF(13&gt;='مفروضات مشترک'!$B$16,'مفروضات مشترک'!$B$13,0)))</f>
        <v>0.75</v>
      </c>
      <c r="O8" s="20" t="n">
        <f aca="false">IF(14&gt;='مفروضات مشترک'!$B$18,'مفروضات مشترک'!$B$15,IF(14&gt;='مفروضات مشترک'!$B$17,'مفروضات مشترک'!$B$14,IF(14&gt;='مفروضات مشترک'!$B$16,'مفروضات مشترک'!$B$13,0)))</f>
        <v>0.75</v>
      </c>
      <c r="P8" s="20" t="n">
        <f aca="false">IF(15&gt;='مفروضات مشترک'!$B$18,'مفروضات مشترک'!$B$15,IF(15&gt;='مفروضات مشترک'!$B$17,'مفروضات مشترک'!$B$14,IF(15&gt;='مفروضات مشترک'!$B$16,'مفروضات مشترک'!$B$13,0)))</f>
        <v>0.75</v>
      </c>
      <c r="Q8" s="20" t="n">
        <f aca="false">IF(16&gt;='مفروضات مشترک'!$B$18,'مفروضات مشترک'!$B$15,IF(16&gt;='مفروضات مشترک'!$B$17,'مفروضات مشترک'!$B$14,IF(16&gt;='مفروضات مشترک'!$B$16,'مفروضات مشترک'!$B$13,0)))</f>
        <v>0.75</v>
      </c>
      <c r="R8" s="20" t="n">
        <f aca="false">IF(17&gt;='مفروضات مشترک'!$B$18,'مفروضات مشترک'!$B$15,IF(17&gt;='مفروضات مشترک'!$B$17,'مفروضات مشترک'!$B$14,IF(17&gt;='مفروضات مشترک'!$B$16,'مفروضات مشترک'!$B$13,0)))</f>
        <v>0.75</v>
      </c>
      <c r="S8" s="20" t="n">
        <f aca="false">IF(18&gt;='مفروضات مشترک'!$B$18,'مفروضات مشترک'!$B$15,IF(18&gt;='مفروضات مشترک'!$B$17,'مفروضات مشترک'!$B$14,IF(18&gt;='مفروضات مشترک'!$B$16,'مفروضات مشترک'!$B$13,0)))</f>
        <v>0.75</v>
      </c>
      <c r="T8" s="20" t="n">
        <f aca="false">IF(19&gt;='مفروضات مشترک'!$B$18,'مفروضات مشترک'!$B$15,IF(19&gt;='مفروضات مشترک'!$B$17,'مفروضات مشترک'!$B$14,IF(19&gt;='مفروضات مشترک'!$B$16,'مفروضات مشترک'!$B$13,0)))</f>
        <v>1</v>
      </c>
      <c r="U8" s="20" t="n">
        <f aca="false">IF(20&gt;='مفروضات مشترک'!$B$18,'مفروضات مشترک'!$B$15,IF(20&gt;='مفروضات مشترک'!$B$17,'مفروضات مشترک'!$B$14,IF(20&gt;='مفروضات مشترک'!$B$16,'مفروضات مشترک'!$B$13,0)))</f>
        <v>1</v>
      </c>
      <c r="V8" s="20" t="n">
        <f aca="false">IF(21&gt;='مفروضات مشترک'!$B$18,'مفروضات مشترک'!$B$15,IF(21&gt;='مفروضات مشترک'!$B$17,'مفروضات مشترک'!$B$14,IF(21&gt;='مفروضات مشترک'!$B$16,'مفروضات مشترک'!$B$13,0)))</f>
        <v>1</v>
      </c>
      <c r="W8" s="20" t="n">
        <f aca="false">IF(22&gt;='مفروضات مشترک'!$B$18,'مفروضات مشترک'!$B$15,IF(22&gt;='مفروضات مشترک'!$B$17,'مفروضات مشترک'!$B$14,IF(22&gt;='مفروضات مشترک'!$B$16,'مفروضات مشترک'!$B$13,0)))</f>
        <v>1</v>
      </c>
      <c r="X8" s="20" t="n">
        <f aca="false">IF(23&gt;='مفروضات مشترک'!$B$18,'مفروضات مشترک'!$B$15,IF(23&gt;='مفروضات مشترک'!$B$17,'مفروضات مشترک'!$B$14,IF(23&gt;='مفروضات مشترک'!$B$16,'مفروضات مشترک'!$B$13,0)))</f>
        <v>1</v>
      </c>
      <c r="Y8" s="20" t="n">
        <f aca="false">IF(24&gt;='مفروضات مشترک'!$B$18,'مفروضات مشترک'!$B$15,IF(24&gt;='مفروضات مشترک'!$B$17,'مفروضات مشترک'!$B$14,IF(24&gt;='مفروضات مشترک'!$B$16,'مفروضات مشترک'!$B$13,0)))</f>
        <v>1</v>
      </c>
    </row>
    <row r="9" customFormat="false" ht="15" hidden="false" customHeight="false" outlineLevel="0" collapsed="false">
      <c r="A9" s="27" t="s">
        <v>349</v>
      </c>
      <c r="B9" s="28"/>
      <c r="C9" s="28"/>
      <c r="D9" s="28"/>
      <c r="E9" s="28"/>
      <c r="F9" s="28"/>
      <c r="G9" s="28"/>
      <c r="H9" s="28"/>
      <c r="I9" s="28"/>
      <c r="J9" s="28"/>
      <c r="K9" s="28"/>
      <c r="L9" s="28"/>
      <c r="M9" s="28"/>
      <c r="N9" s="28"/>
      <c r="O9" s="28"/>
      <c r="P9" s="28"/>
      <c r="Q9" s="28"/>
      <c r="R9" s="28"/>
      <c r="S9" s="28"/>
      <c r="T9" s="28"/>
      <c r="U9" s="28"/>
      <c r="V9" s="28"/>
      <c r="W9" s="28"/>
      <c r="X9" s="28"/>
      <c r="Y9" s="28"/>
    </row>
    <row r="10" customFormat="false" ht="15" hidden="false" customHeight="false" outlineLevel="0" collapsed="false">
      <c r="A10" s="4" t="s">
        <v>350</v>
      </c>
      <c r="B10" s="20" t="n">
        <f aca="false">IF(1&gt;='مفروضات مشترک'!$B$24,سناریوها!$C$12,0)</f>
        <v>0</v>
      </c>
      <c r="C10" s="20" t="n">
        <f aca="false">IF(2&gt;='مفروضات مشترک'!$B$24,سناریوها!$C$12,0)</f>
        <v>0</v>
      </c>
      <c r="D10" s="20" t="n">
        <f aca="false">IF(3&gt;='مفروضات مشترک'!$B$24,سناریوها!$C$12,0)</f>
        <v>0</v>
      </c>
      <c r="E10" s="20" t="n">
        <f aca="false">IF(4&gt;='مفروضات مشترک'!$B$24,سناریوها!$C$12,0)</f>
        <v>0</v>
      </c>
      <c r="F10" s="20" t="n">
        <f aca="false">IF(5&gt;='مفروضات مشترک'!$B$24,سناریوها!$C$12,0)</f>
        <v>0</v>
      </c>
      <c r="G10" s="20" t="n">
        <f aca="false">IF(6&gt;='مفروضات مشترک'!$B$24,سناریوها!$C$12,0)</f>
        <v>2</v>
      </c>
      <c r="H10" s="20" t="n">
        <f aca="false">IF(7&gt;='مفروضات مشترک'!$B$24,سناریوها!$C$12,0)</f>
        <v>2</v>
      </c>
      <c r="I10" s="20" t="n">
        <f aca="false">IF(8&gt;='مفروضات مشترک'!$B$24,سناریوها!$C$12,0)</f>
        <v>2</v>
      </c>
      <c r="J10" s="20" t="n">
        <f aca="false">IF(9&gt;='مفروضات مشترک'!$B$24,سناریوها!$C$12,0)</f>
        <v>2</v>
      </c>
      <c r="K10" s="20" t="n">
        <f aca="false">IF(10&gt;='مفروضات مشترک'!$B$24,سناریوها!$C$12,0)</f>
        <v>2</v>
      </c>
      <c r="L10" s="20" t="n">
        <f aca="false">IF(11&gt;='مفروضات مشترک'!$B$24,سناریوها!$C$12,0)</f>
        <v>2</v>
      </c>
      <c r="M10" s="20" t="n">
        <f aca="false">IF(12&gt;='مفروضات مشترک'!$B$24,سناریوها!$C$12,0)</f>
        <v>2</v>
      </c>
      <c r="N10" s="20" t="n">
        <f aca="false">IF(13&gt;='مفروضات مشترک'!$B$24,سناریوها!$C$12,0)</f>
        <v>2</v>
      </c>
      <c r="O10" s="20" t="n">
        <f aca="false">IF(14&gt;='مفروضات مشترک'!$B$24,سناریوها!$C$12,0)</f>
        <v>2</v>
      </c>
      <c r="P10" s="20" t="n">
        <f aca="false">IF(15&gt;='مفروضات مشترک'!$B$24,سناریوها!$C$12,0)</f>
        <v>2</v>
      </c>
      <c r="Q10" s="20" t="n">
        <f aca="false">IF(16&gt;='مفروضات مشترک'!$B$24,سناریوها!$C$12,0)</f>
        <v>2</v>
      </c>
      <c r="R10" s="20" t="n">
        <f aca="false">IF(17&gt;='مفروضات مشترک'!$B$24,سناریوها!$C$12,0)</f>
        <v>2</v>
      </c>
      <c r="S10" s="20" t="n">
        <f aca="false">IF(18&gt;='مفروضات مشترک'!$B$24,سناریوها!$C$12,0)</f>
        <v>2</v>
      </c>
      <c r="T10" s="20" t="n">
        <f aca="false">IF(19&gt;='مفروضات مشترک'!$B$24,سناریوها!$C$12,0)</f>
        <v>2</v>
      </c>
      <c r="U10" s="20" t="n">
        <f aca="false">IF(20&gt;='مفروضات مشترک'!$B$24,سناریوها!$C$12,0)</f>
        <v>2</v>
      </c>
      <c r="V10" s="20" t="n">
        <f aca="false">IF(21&gt;='مفروضات مشترک'!$B$24,سناریوها!$C$12,0)</f>
        <v>2</v>
      </c>
      <c r="W10" s="20" t="n">
        <f aca="false">IF(22&gt;='مفروضات مشترک'!$B$24,سناریوها!$C$12,0)</f>
        <v>2</v>
      </c>
      <c r="X10" s="20" t="n">
        <f aca="false">IF(23&gt;='مفروضات مشترک'!$B$24,سناریوها!$C$12,0)</f>
        <v>2</v>
      </c>
      <c r="Y10" s="20" t="n">
        <f aca="false">IF(24&gt;='مفروضات مشترک'!$B$24,سناریوها!$C$12,0)</f>
        <v>2</v>
      </c>
    </row>
    <row r="11" customFormat="false" ht="15" hidden="false" customHeight="false" outlineLevel="0" collapsed="false">
      <c r="A11" s="4" t="s">
        <v>351</v>
      </c>
      <c r="B11" s="20" t="n">
        <f aca="false">B10*سناریوها!$C$13</f>
        <v>0</v>
      </c>
      <c r="C11" s="20" t="n">
        <f aca="false">C10*سناریوها!$C$13</f>
        <v>0</v>
      </c>
      <c r="D11" s="20" t="n">
        <f aca="false">D10*سناریوها!$C$13</f>
        <v>0</v>
      </c>
      <c r="E11" s="20" t="n">
        <f aca="false">E10*سناریوها!$C$13</f>
        <v>0</v>
      </c>
      <c r="F11" s="20" t="n">
        <f aca="false">F10*سناریوها!$C$13</f>
        <v>0</v>
      </c>
      <c r="G11" s="20" t="n">
        <f aca="false">G10*سناریوها!$C$13</f>
        <v>0.8</v>
      </c>
      <c r="H11" s="20" t="n">
        <f aca="false">H10*سناریوها!$C$13</f>
        <v>0.8</v>
      </c>
      <c r="I11" s="20" t="n">
        <f aca="false">I10*سناریوها!$C$13</f>
        <v>0.8</v>
      </c>
      <c r="J11" s="20" t="n">
        <f aca="false">J10*سناریوها!$C$13</f>
        <v>0.8</v>
      </c>
      <c r="K11" s="20" t="n">
        <f aca="false">K10*سناریوها!$C$13</f>
        <v>0.8</v>
      </c>
      <c r="L11" s="20" t="n">
        <f aca="false">L10*سناریوها!$C$13</f>
        <v>0.8</v>
      </c>
      <c r="M11" s="20" t="n">
        <f aca="false">M10*سناریوها!$C$13</f>
        <v>0.8</v>
      </c>
      <c r="N11" s="20" t="n">
        <f aca="false">N10*سناریوها!$C$13</f>
        <v>0.8</v>
      </c>
      <c r="O11" s="20" t="n">
        <f aca="false">O10*سناریوها!$C$13</f>
        <v>0.8</v>
      </c>
      <c r="P11" s="20" t="n">
        <f aca="false">P10*سناریوها!$C$13</f>
        <v>0.8</v>
      </c>
      <c r="Q11" s="20" t="n">
        <f aca="false">Q10*سناریوها!$C$13</f>
        <v>0.8</v>
      </c>
      <c r="R11" s="20" t="n">
        <f aca="false">R10*سناریوها!$C$13</f>
        <v>0.8</v>
      </c>
      <c r="S11" s="20" t="n">
        <f aca="false">S10*سناریوها!$C$13</f>
        <v>0.8</v>
      </c>
      <c r="T11" s="20" t="n">
        <f aca="false">T10*سناریوها!$C$13</f>
        <v>0.8</v>
      </c>
      <c r="U11" s="20" t="n">
        <f aca="false">U10*سناریوها!$C$13</f>
        <v>0.8</v>
      </c>
      <c r="V11" s="20" t="n">
        <f aca="false">V10*سناریوها!$C$13</f>
        <v>0.8</v>
      </c>
      <c r="W11" s="20" t="n">
        <f aca="false">W10*سناریوها!$C$13</f>
        <v>0.8</v>
      </c>
      <c r="X11" s="20" t="n">
        <f aca="false">X10*سناریوها!$C$13</f>
        <v>0.8</v>
      </c>
      <c r="Y11" s="20" t="n">
        <f aca="false">Y10*سناریوها!$C$13</f>
        <v>0.8</v>
      </c>
    </row>
    <row r="12" customFormat="false" ht="16.4" hidden="false" customHeight="false" outlineLevel="0" collapsed="false">
      <c r="A12" s="4" t="s">
        <v>352</v>
      </c>
      <c r="B12" s="20" t="n">
        <f aca="false">IF(1-سناریوها!$C$15&lt;1,0,INDEX($B$11:$Y$11,1,MAX(1,ROUND(1-سناریوها!$C$15,0)))*سناریوها!$C$14)</f>
        <v>0</v>
      </c>
      <c r="C12" s="20" t="n">
        <f aca="false">IF(2-سناریوها!$C$15&lt;1,0,INDEX($B$11:$Y$11,1,MAX(1,ROUND(2-سناریوها!$C$15,0)))*سناریوها!$C$14)</f>
        <v>0</v>
      </c>
      <c r="D12" s="20" t="n">
        <f aca="false">IF(3-سناریوها!$C$15&lt;1,0,INDEX($B$11:$Y$11,1,MAX(1,ROUND(3-سناریوها!$C$15,0)))*سناریوها!$C$14)</f>
        <v>0</v>
      </c>
      <c r="E12" s="20" t="n">
        <f aca="false">IF(4-سناریوها!$C$15&lt;1,0,INDEX($B$11:$Y$11,1,MAX(1,ROUND(4-سناریوها!$C$15,0)))*سناریوها!$C$14)</f>
        <v>0</v>
      </c>
      <c r="F12" s="20" t="n">
        <f aca="false">IF(5-سناریوها!$C$15&lt;1,0,INDEX($B$11:$Y$11,1,MAX(1,ROUND(5-سناریوها!$C$15,0)))*سناریوها!$C$14)</f>
        <v>0</v>
      </c>
      <c r="G12" s="20" t="n">
        <f aca="false">IF(6-سناریوها!$C$15&lt;1,0,INDEX($B$11:$Y$11,1,MAX(1,ROUND(6-سناریوها!$C$15,0)))*سناریوها!$C$14)</f>
        <v>0</v>
      </c>
      <c r="H12" s="20" t="n">
        <f aca="false">IF(7-سناریوها!$C$15&lt;1,0,INDEX($B$11:$Y$11,1,MAX(1,ROUND(7-سناریوها!$C$15,0)))*سناریوها!$C$14)</f>
        <v>0</v>
      </c>
      <c r="I12" s="20" t="n">
        <f aca="false">IF(8-سناریوها!$C$15&lt;1,0,INDEX($B$11:$Y$11,1,MAX(1,ROUND(8-سناریوها!$C$15,0)))*سناریوها!$C$14)</f>
        <v>0</v>
      </c>
      <c r="J12" s="20" t="n">
        <f aca="false">IF(9-سناریوها!$C$15&lt;1,0,INDEX($B$11:$Y$11,1,MAX(1,ROUND(9-سناریوها!$C$15,0)))*سناریوها!$C$14)</f>
        <v>0</v>
      </c>
      <c r="K12" s="20" t="n">
        <f aca="false">IF(10-سناریوها!$C$15&lt;1,0,INDEX($B$11:$Y$11,1,MAX(1,ROUND(10-سناریوها!$C$15,0)))*سناریوها!$C$14)</f>
        <v>0</v>
      </c>
      <c r="L12" s="20" t="n">
        <f aca="false">IF(11-سناریوها!$C$15&lt;1,0,INDEX($B$11:$Y$11,1,MAX(1,ROUND(11-سناریوها!$C$15,0)))*سناریوها!$C$14)</f>
        <v>0.12</v>
      </c>
      <c r="M12" s="20" t="n">
        <f aca="false">IF(12-سناریوها!$C$15&lt;1,0,INDEX($B$11:$Y$11,1,MAX(1,ROUND(12-سناریوها!$C$15,0)))*سناریوها!$C$14)</f>
        <v>0.12</v>
      </c>
      <c r="N12" s="20" t="n">
        <f aca="false">IF(13-سناریوها!$C$15&lt;1,0,INDEX($B$11:$Y$11,1,MAX(1,ROUND(13-سناریوها!$C$15,0)))*سناریوها!$C$14)</f>
        <v>0.12</v>
      </c>
      <c r="O12" s="20" t="n">
        <f aca="false">IF(14-سناریوها!$C$15&lt;1,0,INDEX($B$11:$Y$11,1,MAX(1,ROUND(14-سناریوها!$C$15,0)))*سناریوها!$C$14)</f>
        <v>0.12</v>
      </c>
      <c r="P12" s="20" t="n">
        <f aca="false">IF(15-سناریوها!$C$15&lt;1,0,INDEX($B$11:$Y$11,1,MAX(1,ROUND(15-سناریوها!$C$15,0)))*سناریوها!$C$14)</f>
        <v>0.12</v>
      </c>
      <c r="Q12" s="20" t="n">
        <f aca="false">IF(16-سناریوها!$C$15&lt;1,0,INDEX($B$11:$Y$11,1,MAX(1,ROUND(16-سناریوها!$C$15,0)))*سناریوها!$C$14)</f>
        <v>0.12</v>
      </c>
      <c r="R12" s="20" t="n">
        <f aca="false">IF(17-سناریوها!$C$15&lt;1,0,INDEX($B$11:$Y$11,1,MAX(1,ROUND(17-سناریوها!$C$15,0)))*سناریوها!$C$14)</f>
        <v>0.12</v>
      </c>
      <c r="S12" s="20" t="n">
        <f aca="false">IF(18-سناریوها!$C$15&lt;1,0,INDEX($B$11:$Y$11,1,MAX(1,ROUND(18-سناریوها!$C$15,0)))*سناریوها!$C$14)</f>
        <v>0.12</v>
      </c>
      <c r="T12" s="20" t="n">
        <f aca="false">IF(19-سناریوها!$C$15&lt;1,0,INDEX($B$11:$Y$11,1,MAX(1,ROUND(19-سناریوها!$C$15,0)))*سناریوها!$C$14)</f>
        <v>0.12</v>
      </c>
      <c r="U12" s="20" t="n">
        <f aca="false">IF(20-سناریوها!$C$15&lt;1,0,INDEX($B$11:$Y$11,1,MAX(1,ROUND(20-سناریوها!$C$15,0)))*سناریوها!$C$14)</f>
        <v>0.12</v>
      </c>
      <c r="V12" s="20" t="n">
        <f aca="false">IF(21-سناریوها!$C$15&lt;1,0,INDEX($B$11:$Y$11,1,MAX(1,ROUND(21-سناریوها!$C$15,0)))*سناریوها!$C$14)</f>
        <v>0.12</v>
      </c>
      <c r="W12" s="20" t="n">
        <f aca="false">IF(22-سناریوها!$C$15&lt;1,0,INDEX($B$11:$Y$11,1,MAX(1,ROUND(22-سناریوها!$C$15,0)))*سناریوها!$C$14)</f>
        <v>0.12</v>
      </c>
      <c r="X12" s="20" t="n">
        <f aca="false">IF(23-سناریوها!$C$15&lt;1,0,INDEX($B$11:$Y$11,1,MAX(1,ROUND(23-سناریوها!$C$15,0)))*سناریوها!$C$14)</f>
        <v>0.12</v>
      </c>
      <c r="Y12" s="20" t="n">
        <f aca="false">IF(24-سناریوها!$C$15&lt;1,0,INDEX($B$11:$Y$11,1,MAX(1,ROUND(24-سناریوها!$C$15,0)))*سناریوها!$C$14)</f>
        <v>0.12</v>
      </c>
    </row>
    <row r="13" customFormat="false" ht="15" hidden="false" customHeight="false" outlineLevel="0" collapsed="false">
      <c r="A13" s="27" t="s">
        <v>353</v>
      </c>
      <c r="B13" s="28"/>
      <c r="C13" s="28"/>
      <c r="D13" s="28"/>
      <c r="E13" s="28"/>
      <c r="F13" s="28"/>
      <c r="G13" s="28"/>
      <c r="H13" s="28"/>
      <c r="I13" s="28"/>
      <c r="J13" s="28"/>
      <c r="K13" s="28"/>
      <c r="L13" s="28"/>
      <c r="M13" s="28"/>
      <c r="N13" s="28"/>
      <c r="O13" s="28"/>
      <c r="P13" s="28"/>
      <c r="Q13" s="28"/>
      <c r="R13" s="28"/>
      <c r="S13" s="28"/>
      <c r="T13" s="28"/>
      <c r="U13" s="28"/>
      <c r="V13" s="28"/>
      <c r="W13" s="28"/>
      <c r="X13" s="28"/>
      <c r="Y13" s="28"/>
    </row>
    <row r="14" customFormat="false" ht="15" hidden="false" customHeight="false" outlineLevel="0" collapsed="false">
      <c r="A14" s="4" t="s">
        <v>354</v>
      </c>
      <c r="B14" s="20" t="n">
        <f aca="false">'مفروضات مشترک'!$B$27/'مفروضات مشترک'!$B$28</f>
        <v>2</v>
      </c>
      <c r="C14" s="20" t="n">
        <f aca="false">'مفروضات مشترک'!$B$27/'مفروضات مشترک'!$B$28</f>
        <v>2</v>
      </c>
      <c r="D14" s="20" t="n">
        <f aca="false">'مفروضات مشترک'!$B$27/'مفروضات مشترک'!$B$28</f>
        <v>2</v>
      </c>
      <c r="E14" s="20" t="n">
        <f aca="false">'مفروضات مشترک'!$B$27/'مفروضات مشترک'!$B$28</f>
        <v>2</v>
      </c>
      <c r="F14" s="20" t="n">
        <f aca="false">'مفروضات مشترک'!$B$27/'مفروضات مشترک'!$B$28</f>
        <v>2</v>
      </c>
      <c r="G14" s="20" t="n">
        <f aca="false">'مفروضات مشترک'!$B$27/'مفروضات مشترک'!$B$28</f>
        <v>2</v>
      </c>
      <c r="H14" s="20" t="n">
        <f aca="false">'مفروضات مشترک'!$B$27/'مفروضات مشترک'!$B$28</f>
        <v>2</v>
      </c>
      <c r="I14" s="20" t="n">
        <f aca="false">'مفروضات مشترک'!$B$27/'مفروضات مشترک'!$B$28</f>
        <v>2</v>
      </c>
      <c r="J14" s="20" t="n">
        <f aca="false">'مفروضات مشترک'!$B$27/'مفروضات مشترک'!$B$28</f>
        <v>2</v>
      </c>
      <c r="K14" s="20" t="n">
        <f aca="false">'مفروضات مشترک'!$B$27/'مفروضات مشترک'!$B$28</f>
        <v>2</v>
      </c>
      <c r="L14" s="20" t="n">
        <f aca="false">'مفروضات مشترک'!$B$27/'مفروضات مشترک'!$B$28</f>
        <v>2</v>
      </c>
      <c r="M14" s="20" t="n">
        <f aca="false">'مفروضات مشترک'!$B$27/'مفروضات مشترک'!$B$28</f>
        <v>2</v>
      </c>
      <c r="N14" s="20" t="n">
        <f aca="false">'مفروضات مشترک'!$B$27/'مفروضات مشترک'!$B$28</f>
        <v>2</v>
      </c>
      <c r="O14" s="20" t="n">
        <f aca="false">'مفروضات مشترک'!$B$27/'مفروضات مشترک'!$B$28</f>
        <v>2</v>
      </c>
      <c r="P14" s="20" t="n">
        <f aca="false">'مفروضات مشترک'!$B$27/'مفروضات مشترک'!$B$28</f>
        <v>2</v>
      </c>
      <c r="Q14" s="20" t="n">
        <f aca="false">'مفروضات مشترک'!$B$27/'مفروضات مشترک'!$B$28</f>
        <v>2</v>
      </c>
      <c r="R14" s="20" t="n">
        <f aca="false">'مفروضات مشترک'!$B$27/'مفروضات مشترک'!$B$28</f>
        <v>2</v>
      </c>
      <c r="S14" s="20" t="n">
        <f aca="false">'مفروضات مشترک'!$B$27/'مفروضات مشترک'!$B$28</f>
        <v>2</v>
      </c>
      <c r="T14" s="20" t="n">
        <f aca="false">'مفروضات مشترک'!$B$27/'مفروضات مشترک'!$B$28</f>
        <v>2</v>
      </c>
      <c r="U14" s="20" t="n">
        <f aca="false">'مفروضات مشترک'!$B$27/'مفروضات مشترک'!$B$28</f>
        <v>2</v>
      </c>
      <c r="V14" s="20" t="n">
        <f aca="false">'مفروضات مشترک'!$B$27/'مفروضات مشترک'!$B$28</f>
        <v>2</v>
      </c>
      <c r="W14" s="20" t="n">
        <f aca="false">'مفروضات مشترک'!$B$27/'مفروضات مشترک'!$B$28</f>
        <v>2</v>
      </c>
      <c r="X14" s="20" t="n">
        <f aca="false">'مفروضات مشترک'!$B$27/'مفروضات مشترک'!$B$28</f>
        <v>2</v>
      </c>
      <c r="Y14" s="20" t="n">
        <f aca="false">'مفروضات مشترک'!$B$27/'مفروضات مشترک'!$B$28</f>
        <v>2</v>
      </c>
    </row>
    <row r="15" customFormat="false" ht="15" hidden="false" customHeight="false" outlineLevel="0" collapsed="false">
      <c r="A15" s="4" t="s">
        <v>355</v>
      </c>
      <c r="B15" s="20" t="n">
        <f aca="false">سناریوها!$C$18*'مفروضات مشترک'!$B$25*160/'اقتصاد واحد'!$C$15</f>
        <v>21.7038506682471</v>
      </c>
      <c r="C15" s="20" t="n">
        <f aca="false">سناریوها!$C$18*'مفروضات مشترک'!$B$25*160/'اقتصاد واحد'!$C$15</f>
        <v>21.7038506682471</v>
      </c>
      <c r="D15" s="20" t="n">
        <f aca="false">سناریوها!$C$18*'مفروضات مشترک'!$B$25*160/'اقتصاد واحد'!$C$15</f>
        <v>21.7038506682471</v>
      </c>
      <c r="E15" s="20" t="n">
        <f aca="false">سناریوها!$C$18*'مفروضات مشترک'!$B$25*160/'اقتصاد واحد'!$C$15</f>
        <v>21.7038506682471</v>
      </c>
      <c r="F15" s="20" t="n">
        <f aca="false">سناریوها!$C$18*'مفروضات مشترک'!$B$25*160/'اقتصاد واحد'!$C$15</f>
        <v>21.7038506682471</v>
      </c>
      <c r="G15" s="20" t="n">
        <f aca="false">سناریوها!$C$18*'مفروضات مشترک'!$B$25*160/'اقتصاد واحد'!$C$15</f>
        <v>21.7038506682471</v>
      </c>
      <c r="H15" s="20" t="n">
        <f aca="false">سناریوها!$C$18*'مفروضات مشترک'!$B$25*160/'اقتصاد واحد'!$C$15</f>
        <v>21.7038506682471</v>
      </c>
      <c r="I15" s="20" t="n">
        <f aca="false">سناریوها!$C$18*'مفروضات مشترک'!$B$25*160/'اقتصاد واحد'!$C$15</f>
        <v>21.7038506682471</v>
      </c>
      <c r="J15" s="20" t="n">
        <f aca="false">سناریوها!$C$18*'مفروضات مشترک'!$B$25*160/'اقتصاد واحد'!$C$15</f>
        <v>21.7038506682471</v>
      </c>
      <c r="K15" s="20" t="n">
        <f aca="false">سناریوها!$C$18*'مفروضات مشترک'!$B$25*160/'اقتصاد واحد'!$C$15</f>
        <v>21.7038506682471</v>
      </c>
      <c r="L15" s="20" t="n">
        <f aca="false">سناریوها!$C$18*'مفروضات مشترک'!$B$25*160/'اقتصاد واحد'!$C$15</f>
        <v>21.7038506682471</v>
      </c>
      <c r="M15" s="20" t="n">
        <f aca="false">سناریوها!$C$18*'مفروضات مشترک'!$B$25*160/'اقتصاد واحد'!$C$15</f>
        <v>21.7038506682471</v>
      </c>
      <c r="N15" s="20" t="n">
        <f aca="false">سناریوها!$C$18*'مفروضات مشترک'!$B$25*160/'اقتصاد واحد'!$C$15</f>
        <v>21.7038506682471</v>
      </c>
      <c r="O15" s="20" t="n">
        <f aca="false">سناریوها!$C$18*'مفروضات مشترک'!$B$25*160/'اقتصاد واحد'!$C$15</f>
        <v>21.7038506682471</v>
      </c>
      <c r="P15" s="20" t="n">
        <f aca="false">سناریوها!$C$18*'مفروضات مشترک'!$B$25*160/'اقتصاد واحد'!$C$15</f>
        <v>21.7038506682471</v>
      </c>
      <c r="Q15" s="20" t="n">
        <f aca="false">سناریوها!$C$18*'مفروضات مشترک'!$B$25*160/'اقتصاد واحد'!$C$15</f>
        <v>21.7038506682471</v>
      </c>
      <c r="R15" s="20" t="n">
        <f aca="false">سناریوها!$C$18*'مفروضات مشترک'!$B$25*160/'اقتصاد واحد'!$C$15</f>
        <v>21.7038506682471</v>
      </c>
      <c r="S15" s="20" t="n">
        <f aca="false">سناریوها!$C$18*'مفروضات مشترک'!$B$25*160/'اقتصاد واحد'!$C$15</f>
        <v>21.7038506682471</v>
      </c>
      <c r="T15" s="20" t="n">
        <f aca="false">سناریوها!$C$18*'مفروضات مشترک'!$B$25*160/'اقتصاد واحد'!$C$15</f>
        <v>21.7038506682471</v>
      </c>
      <c r="U15" s="20" t="n">
        <f aca="false">سناریوها!$C$18*'مفروضات مشترک'!$B$25*160/'اقتصاد واحد'!$C$15</f>
        <v>21.7038506682471</v>
      </c>
      <c r="V15" s="20" t="n">
        <f aca="false">سناریوها!$C$18*'مفروضات مشترک'!$B$25*160/'اقتصاد واحد'!$C$15</f>
        <v>21.7038506682471</v>
      </c>
      <c r="W15" s="20" t="n">
        <f aca="false">سناریوها!$C$18*'مفروضات مشترک'!$B$25*160/'اقتصاد واحد'!$C$15</f>
        <v>21.7038506682471</v>
      </c>
      <c r="X15" s="20" t="n">
        <f aca="false">سناریوها!$C$18*'مفروضات مشترک'!$B$25*160/'اقتصاد واحد'!$C$15</f>
        <v>21.7038506682471</v>
      </c>
      <c r="Y15" s="20" t="n">
        <f aca="false">سناریوها!$C$18*'مفروضات مشترک'!$B$25*160/'اقتصاد واحد'!$C$15</f>
        <v>21.7038506682471</v>
      </c>
    </row>
    <row r="16" customFormat="false" ht="16.4" hidden="false" customHeight="false" outlineLevel="0" collapsed="false">
      <c r="A16" s="4" t="s">
        <v>356</v>
      </c>
      <c r="B16" s="20" t="n">
        <f aca="false">MIN(B12,B14)</f>
        <v>0</v>
      </c>
      <c r="C16" s="20" t="n">
        <f aca="false">MIN(C12,C14)</f>
        <v>0</v>
      </c>
      <c r="D16" s="20" t="n">
        <f aca="false">MIN(D12,D14)</f>
        <v>0</v>
      </c>
      <c r="E16" s="20" t="n">
        <f aca="false">MIN(E12,E14)</f>
        <v>0</v>
      </c>
      <c r="F16" s="20" t="n">
        <f aca="false">MIN(F12,F14)</f>
        <v>0</v>
      </c>
      <c r="G16" s="20" t="n">
        <f aca="false">MIN(G12,G14)</f>
        <v>0</v>
      </c>
      <c r="H16" s="20" t="n">
        <f aca="false">MIN(H12,H14)</f>
        <v>0</v>
      </c>
      <c r="I16" s="20" t="n">
        <f aca="false">MIN(I12,I14)</f>
        <v>0</v>
      </c>
      <c r="J16" s="20" t="n">
        <f aca="false">MIN(J12,J14)</f>
        <v>0</v>
      </c>
      <c r="K16" s="20" t="n">
        <f aca="false">MIN(K12,K14)</f>
        <v>0</v>
      </c>
      <c r="L16" s="20" t="n">
        <f aca="false">MIN(L12,L14)</f>
        <v>0.12</v>
      </c>
      <c r="M16" s="20" t="n">
        <f aca="false">MIN(M12,M14)</f>
        <v>0.12</v>
      </c>
      <c r="N16" s="20" t="n">
        <f aca="false">MIN(N12,N14)</f>
        <v>0.12</v>
      </c>
      <c r="O16" s="20" t="n">
        <f aca="false">MIN(O12,O14)</f>
        <v>0.12</v>
      </c>
      <c r="P16" s="20" t="n">
        <f aca="false">MIN(P12,P14)</f>
        <v>0.12</v>
      </c>
      <c r="Q16" s="20" t="n">
        <f aca="false">MIN(Q12,Q14)</f>
        <v>0.12</v>
      </c>
      <c r="R16" s="20" t="n">
        <f aca="false">MIN(R12,R14)</f>
        <v>0.12</v>
      </c>
      <c r="S16" s="20" t="n">
        <f aca="false">MIN(S12,S14)</f>
        <v>0.12</v>
      </c>
      <c r="T16" s="20" t="n">
        <f aca="false">MIN(T12,T14)</f>
        <v>0.12</v>
      </c>
      <c r="U16" s="20" t="n">
        <f aca="false">MIN(U12,U14)</f>
        <v>0.12</v>
      </c>
      <c r="V16" s="20" t="n">
        <f aca="false">MIN(V12,V14)</f>
        <v>0.12</v>
      </c>
      <c r="W16" s="20" t="n">
        <f aca="false">MIN(W12,W14)</f>
        <v>0.12</v>
      </c>
      <c r="X16" s="20" t="n">
        <f aca="false">MIN(X12,X14)</f>
        <v>0.12</v>
      </c>
      <c r="Y16" s="20" t="n">
        <f aca="false">MIN(Y12,Y14)</f>
        <v>0.12</v>
      </c>
    </row>
    <row r="17" customFormat="false" ht="16.4" hidden="false" customHeight="false" outlineLevel="0" collapsed="false">
      <c r="A17" s="17" t="s">
        <v>357</v>
      </c>
      <c r="B17" s="18" t="n">
        <f aca="false">MIN(B15,سناریوها!$C$7,B16)</f>
        <v>0</v>
      </c>
      <c r="C17" s="18" t="n">
        <f aca="false">MIN(C15,سناریوها!$C$7,B17*(1-سناریوها!$C$16/12)+C16)</f>
        <v>0</v>
      </c>
      <c r="D17" s="18" t="n">
        <f aca="false">MIN(D15,سناریوها!$C$7,C17*(1-سناریوها!$C$16/12)+D16)</f>
        <v>0</v>
      </c>
      <c r="E17" s="18" t="n">
        <f aca="false">MIN(E15,سناریوها!$C$7,D17*(1-سناریوها!$C$16/12)+E16)</f>
        <v>0</v>
      </c>
      <c r="F17" s="18" t="n">
        <f aca="false">MIN(F15,سناریوها!$C$7,E17*(1-سناریوها!$C$16/12)+F16)</f>
        <v>0</v>
      </c>
      <c r="G17" s="18" t="n">
        <f aca="false">MIN(G15,سناریوها!$C$7,F17*(1-سناریوها!$C$16/12)+G16)</f>
        <v>0</v>
      </c>
      <c r="H17" s="18" t="n">
        <f aca="false">MIN(H15,سناریوها!$C$7,G17*(1-سناریوها!$C$16/12)+H16)</f>
        <v>0</v>
      </c>
      <c r="I17" s="18" t="n">
        <f aca="false">MIN(I15,سناریوها!$C$7,H17*(1-سناریوها!$C$16/12)+I16)</f>
        <v>0</v>
      </c>
      <c r="J17" s="18" t="n">
        <f aca="false">MIN(J15,سناریوها!$C$7,I17*(1-سناریوها!$C$16/12)+J16)</f>
        <v>0</v>
      </c>
      <c r="K17" s="18" t="n">
        <f aca="false">MIN(K15,سناریوها!$C$7,J17*(1-سناریوها!$C$16/12)+K16)</f>
        <v>0</v>
      </c>
      <c r="L17" s="18" t="n">
        <f aca="false">MIN(L15,سناریوها!$C$7,K17*(1-سناریوها!$C$16/12)+L16)</f>
        <v>0.12</v>
      </c>
      <c r="M17" s="18" t="n">
        <f aca="false">MIN(M15,سناریوها!$C$7,L17*(1-سناریوها!$C$16/12)+M16)</f>
        <v>0.2375</v>
      </c>
      <c r="N17" s="18" t="n">
        <f aca="false">MIN(N15,سناریوها!$C$7,M17*(1-سناریوها!$C$16/12)+N16)</f>
        <v>0.352552083333333</v>
      </c>
      <c r="O17" s="18" t="n">
        <f aca="false">MIN(O15,سناریوها!$C$7,N17*(1-سناریوها!$C$16/12)+O16)</f>
        <v>0.465207248263889</v>
      </c>
      <c r="P17" s="18" t="n">
        <f aca="false">MIN(P15,سناریوها!$C$7,O17*(1-سناریوها!$C$16/12)+P16)</f>
        <v>0.575515430591725</v>
      </c>
      <c r="Q17" s="18" t="n">
        <f aca="false">MIN(Q15,سناریوها!$C$7,P17*(1-سناریوها!$C$16/12)+Q16)</f>
        <v>0.68352552578773</v>
      </c>
      <c r="R17" s="18" t="n">
        <f aca="false">MIN(R15,سناریوها!$C$7,Q17*(1-سناریوها!$C$16/12)+R16)</f>
        <v>0.789285410667152</v>
      </c>
      <c r="S17" s="18" t="n">
        <f aca="false">MIN(S15,سناریوها!$C$7,R17*(1-سناریوها!$C$16/12)+S16)</f>
        <v>0.892841964611587</v>
      </c>
      <c r="T17" s="18" t="n">
        <f aca="false">MIN(T15,سناریوها!$C$7,S17*(1-سناریوها!$C$16/12)+T16)</f>
        <v>0.994241090348845</v>
      </c>
      <c r="U17" s="18" t="n">
        <f aca="false">MIN(U15,سناریوها!$C$7,T17*(1-سناریوها!$C$16/12)+U16)</f>
        <v>1.09352773429991</v>
      </c>
      <c r="V17" s="18" t="n">
        <f aca="false">MIN(V15,سناریوها!$C$7,U17*(1-سناریوها!$C$16/12)+V16)</f>
        <v>1.190745906502</v>
      </c>
      <c r="W17" s="18" t="n">
        <f aca="false">MIN(W15,سناریوها!$C$7,V17*(1-سناریوها!$C$16/12)+W16)</f>
        <v>1.28593870011654</v>
      </c>
      <c r="X17" s="18" t="n">
        <f aca="false">MIN(X15,سناریوها!$C$7,W17*(1-سناریوها!$C$16/12)+X16)</f>
        <v>1.37914831053078</v>
      </c>
      <c r="Y17" s="18" t="n">
        <f aca="false">MIN(Y15,سناریوها!$C$7,X17*(1-سناریوها!$C$16/12)+Y16)</f>
        <v>1.47041605406139</v>
      </c>
    </row>
    <row r="18" customFormat="false" ht="15" hidden="false" customHeight="false" outlineLevel="0" collapsed="false">
      <c r="A18" s="27" t="s">
        <v>254</v>
      </c>
      <c r="B18" s="28"/>
      <c r="C18" s="28"/>
      <c r="D18" s="28"/>
      <c r="E18" s="28"/>
      <c r="F18" s="28"/>
      <c r="G18" s="28"/>
      <c r="H18" s="28"/>
      <c r="I18" s="28"/>
      <c r="J18" s="28"/>
      <c r="K18" s="28"/>
      <c r="L18" s="28"/>
      <c r="M18" s="28"/>
      <c r="N18" s="28"/>
      <c r="O18" s="28"/>
      <c r="P18" s="28"/>
      <c r="Q18" s="28"/>
      <c r="R18" s="28"/>
      <c r="S18" s="28"/>
      <c r="T18" s="28"/>
      <c r="U18" s="28"/>
      <c r="V18" s="28"/>
      <c r="W18" s="28"/>
      <c r="X18" s="28"/>
      <c r="Y18" s="28"/>
    </row>
    <row r="19" customFormat="false" ht="15" hidden="false" customHeight="false" outlineLevel="0" collapsed="false">
      <c r="A19" s="4" t="s">
        <v>358</v>
      </c>
      <c r="B19" s="19" t="n">
        <f aca="false">B17*'اقتصاد واحد'!$C$11*B7*B8</f>
        <v>0</v>
      </c>
      <c r="C19" s="19" t="n">
        <f aca="false">C17*'اقتصاد واحد'!$C$11*C7*C8</f>
        <v>0</v>
      </c>
      <c r="D19" s="19" t="n">
        <f aca="false">D17*'اقتصاد واحد'!$C$11*D7*D8</f>
        <v>0</v>
      </c>
      <c r="E19" s="19" t="n">
        <f aca="false">E17*'اقتصاد واحد'!$C$11*E7*E8</f>
        <v>0</v>
      </c>
      <c r="F19" s="19" t="n">
        <f aca="false">F17*'اقتصاد واحد'!$C$11*F7*F8</f>
        <v>0</v>
      </c>
      <c r="G19" s="19" t="n">
        <f aca="false">G17*'اقتصاد واحد'!$C$11*G7*G8</f>
        <v>0</v>
      </c>
      <c r="H19" s="19" t="n">
        <f aca="false">H17*'اقتصاد واحد'!$C$11*H7*H8</f>
        <v>0</v>
      </c>
      <c r="I19" s="19" t="n">
        <f aca="false">I17*'اقتصاد واحد'!$C$11*I7*I8</f>
        <v>0</v>
      </c>
      <c r="J19" s="19" t="n">
        <f aca="false">J17*'اقتصاد واحد'!$C$11*J7*J8</f>
        <v>0</v>
      </c>
      <c r="K19" s="19" t="n">
        <f aca="false">K17*'اقتصاد واحد'!$C$11*K7*K8</f>
        <v>0</v>
      </c>
      <c r="L19" s="19" t="n">
        <f aca="false">L17*'اقتصاد واحد'!$C$11*L7*L8</f>
        <v>2.0901888</v>
      </c>
      <c r="M19" s="19" t="n">
        <f aca="false">M17*'اقتصاد واحد'!$C$11*M7*M8</f>
        <v>4.136832</v>
      </c>
      <c r="N19" s="19" t="n">
        <f aca="false">N17*'اقتصاد واحد'!$C$11*N7*N8</f>
        <v>7.98308784</v>
      </c>
      <c r="O19" s="19" t="n">
        <f aca="false">O17*'اقتصاد واحد'!$C$11*O7*O8</f>
        <v>10.53401895</v>
      </c>
      <c r="P19" s="19" t="n">
        <f aca="false">P17*'اقتصاد واحد'!$C$11*P7*P8</f>
        <v>13.031805661875</v>
      </c>
      <c r="Q19" s="19" t="n">
        <f aca="false">Q17*'اقتصاد واحد'!$C$11*Q7*Q8</f>
        <v>15.4775551505859</v>
      </c>
      <c r="R19" s="19" t="n">
        <f aca="false">R17*'اقتصاد واحد'!$C$11*R7*R8</f>
        <v>17.8723515249487</v>
      </c>
      <c r="S19" s="19" t="n">
        <f aca="false">S17*'اقتصاد واحد'!$C$11*S7*S8</f>
        <v>20.217256308179</v>
      </c>
      <c r="T19" s="19" t="n">
        <f aca="false">T17*'اقتصاد واحد'!$C$11*T7*T8</f>
        <v>30.0177452112337</v>
      </c>
      <c r="U19" s="19" t="n">
        <f aca="false">U17*'اقتصاد واحد'!$C$11*U7*U8</f>
        <v>33.0153694393329</v>
      </c>
      <c r="V19" s="19" t="n">
        <f aca="false">V17*'اقتصاد واحد'!$C$11*V7*V8</f>
        <v>35.9505431626802</v>
      </c>
      <c r="W19" s="19" t="n">
        <f aca="false">W17*'اقتصاد واحد'!$C$11*W7*W8</f>
        <v>38.8245674334577</v>
      </c>
      <c r="X19" s="19" t="n">
        <f aca="false">X17*'اقتصاد واحد'!$C$11*X7*X8</f>
        <v>41.638716198594</v>
      </c>
      <c r="Y19" s="19" t="n">
        <f aca="false">Y17*'اقتصاد واحد'!$C$11*Y7*Y8</f>
        <v>44.3942368644566</v>
      </c>
    </row>
    <row r="20" customFormat="false" ht="15" hidden="false" customHeight="false" outlineLevel="0" collapsed="false">
      <c r="A20" s="4" t="s">
        <v>359</v>
      </c>
      <c r="B20" s="19" t="n">
        <f aca="false">B16*'اقتصاد واحد'!$C$12*B7</f>
        <v>0</v>
      </c>
      <c r="C20" s="19" t="n">
        <f aca="false">C16*'اقتصاد واحد'!$C$12*C7</f>
        <v>0</v>
      </c>
      <c r="D20" s="19" t="n">
        <f aca="false">D16*'اقتصاد واحد'!$C$12*D7</f>
        <v>0</v>
      </c>
      <c r="E20" s="19" t="n">
        <f aca="false">E16*'اقتصاد واحد'!$C$12*E7</f>
        <v>0</v>
      </c>
      <c r="F20" s="19" t="n">
        <f aca="false">F16*'اقتصاد واحد'!$C$12*F7</f>
        <v>0</v>
      </c>
      <c r="G20" s="19" t="n">
        <f aca="false">G16*'اقتصاد واحد'!$C$12*G7</f>
        <v>0</v>
      </c>
      <c r="H20" s="19" t="n">
        <f aca="false">H16*'اقتصاد واحد'!$C$12*H7</f>
        <v>0</v>
      </c>
      <c r="I20" s="19" t="n">
        <f aca="false">I16*'اقتصاد واحد'!$C$12*I7</f>
        <v>0</v>
      </c>
      <c r="J20" s="19" t="n">
        <f aca="false">J16*'اقتصاد واحد'!$C$12*J7</f>
        <v>0</v>
      </c>
      <c r="K20" s="19" t="n">
        <f aca="false">K16*'اقتصاد واحد'!$C$12*K7</f>
        <v>0</v>
      </c>
      <c r="L20" s="19" t="n">
        <f aca="false">L16*'اقتصاد واحد'!$C$12*L7</f>
        <v>27</v>
      </c>
      <c r="M20" s="19" t="n">
        <f aca="false">M16*'اقتصاد واحد'!$C$12*M7</f>
        <v>27</v>
      </c>
      <c r="N20" s="19" t="n">
        <f aca="false">N16*'اقتصاد واحد'!$C$12*N7</f>
        <v>35.1</v>
      </c>
      <c r="O20" s="19" t="n">
        <f aca="false">O16*'اقتصاد واحد'!$C$12*O7</f>
        <v>35.1</v>
      </c>
      <c r="P20" s="19" t="n">
        <f aca="false">P16*'اقتصاد واحد'!$C$12*P7</f>
        <v>35.1</v>
      </c>
      <c r="Q20" s="19" t="n">
        <f aca="false">Q16*'اقتصاد واحد'!$C$12*Q7</f>
        <v>35.1</v>
      </c>
      <c r="R20" s="19" t="n">
        <f aca="false">R16*'اقتصاد واحد'!$C$12*R7</f>
        <v>35.1</v>
      </c>
      <c r="S20" s="19" t="n">
        <f aca="false">S16*'اقتصاد واحد'!$C$12*S7</f>
        <v>35.1</v>
      </c>
      <c r="T20" s="19" t="n">
        <f aca="false">T16*'اقتصاد واحد'!$C$12*T7</f>
        <v>35.1</v>
      </c>
      <c r="U20" s="19" t="n">
        <f aca="false">U16*'اقتصاد واحد'!$C$12*U7</f>
        <v>35.1</v>
      </c>
      <c r="V20" s="19" t="n">
        <f aca="false">V16*'اقتصاد واحد'!$C$12*V7</f>
        <v>35.1</v>
      </c>
      <c r="W20" s="19" t="n">
        <f aca="false">W16*'اقتصاد واحد'!$C$12*W7</f>
        <v>35.1</v>
      </c>
      <c r="X20" s="19" t="n">
        <f aca="false">X16*'اقتصاد واحد'!$C$12*X7</f>
        <v>35.1</v>
      </c>
      <c r="Y20" s="19" t="n">
        <f aca="false">Y16*'اقتصاد واحد'!$C$12*Y7</f>
        <v>35.1</v>
      </c>
    </row>
    <row r="21" customFormat="false" ht="15" hidden="false" customHeight="false" outlineLevel="0" collapsed="false">
      <c r="A21" s="17" t="s">
        <v>360</v>
      </c>
      <c r="B21" s="13" t="n">
        <f aca="false">B19+B20</f>
        <v>0</v>
      </c>
      <c r="C21" s="13" t="n">
        <f aca="false">C19+C20</f>
        <v>0</v>
      </c>
      <c r="D21" s="13" t="n">
        <f aca="false">D19+D20</f>
        <v>0</v>
      </c>
      <c r="E21" s="13" t="n">
        <f aca="false">E19+E20</f>
        <v>0</v>
      </c>
      <c r="F21" s="13" t="n">
        <f aca="false">F19+F20</f>
        <v>0</v>
      </c>
      <c r="G21" s="13" t="n">
        <f aca="false">G19+G20</f>
        <v>0</v>
      </c>
      <c r="H21" s="13" t="n">
        <f aca="false">H19+H20</f>
        <v>0</v>
      </c>
      <c r="I21" s="13" t="n">
        <f aca="false">I19+I20</f>
        <v>0</v>
      </c>
      <c r="J21" s="13" t="n">
        <f aca="false">J19+J20</f>
        <v>0</v>
      </c>
      <c r="K21" s="13" t="n">
        <f aca="false">K19+K20</f>
        <v>0</v>
      </c>
      <c r="L21" s="13" t="n">
        <f aca="false">L19+L20</f>
        <v>29.0901888</v>
      </c>
      <c r="M21" s="13" t="n">
        <f aca="false">M19+M20</f>
        <v>31.136832</v>
      </c>
      <c r="N21" s="13" t="n">
        <f aca="false">N19+N20</f>
        <v>43.08308784</v>
      </c>
      <c r="O21" s="13" t="n">
        <f aca="false">O19+O20</f>
        <v>45.63401895</v>
      </c>
      <c r="P21" s="13" t="n">
        <f aca="false">P19+P20</f>
        <v>48.131805661875</v>
      </c>
      <c r="Q21" s="13" t="n">
        <f aca="false">Q19+Q20</f>
        <v>50.5775551505859</v>
      </c>
      <c r="R21" s="13" t="n">
        <f aca="false">R19+R20</f>
        <v>52.9723515249487</v>
      </c>
      <c r="S21" s="13" t="n">
        <f aca="false">S19+S20</f>
        <v>55.317256308179</v>
      </c>
      <c r="T21" s="13" t="n">
        <f aca="false">T19+T20</f>
        <v>65.1177452112337</v>
      </c>
      <c r="U21" s="13" t="n">
        <f aca="false">U19+U20</f>
        <v>68.1153694393329</v>
      </c>
      <c r="V21" s="13" t="n">
        <f aca="false">V19+V20</f>
        <v>71.0505431626802</v>
      </c>
      <c r="W21" s="13" t="n">
        <f aca="false">W19+W20</f>
        <v>73.9245674334577</v>
      </c>
      <c r="X21" s="13" t="n">
        <f aca="false">X19+X20</f>
        <v>76.738716198594</v>
      </c>
      <c r="Y21" s="13" t="n">
        <f aca="false">Y19+Y20</f>
        <v>79.4942368644566</v>
      </c>
    </row>
    <row r="22" customFormat="false" ht="15" hidden="false" customHeight="false" outlineLevel="0" collapsed="false">
      <c r="A22" s="27" t="s">
        <v>361</v>
      </c>
      <c r="B22" s="28"/>
      <c r="C22" s="28"/>
      <c r="D22" s="28"/>
      <c r="E22" s="28"/>
      <c r="F22" s="28"/>
      <c r="G22" s="28"/>
      <c r="H22" s="28"/>
      <c r="I22" s="28"/>
      <c r="J22" s="28"/>
      <c r="K22" s="28"/>
      <c r="L22" s="28"/>
      <c r="M22" s="28"/>
      <c r="N22" s="28"/>
      <c r="O22" s="28"/>
      <c r="P22" s="28"/>
      <c r="Q22" s="28"/>
      <c r="R22" s="28"/>
      <c r="S22" s="28"/>
      <c r="T22" s="28"/>
      <c r="U22" s="28"/>
      <c r="V22" s="28"/>
      <c r="W22" s="28"/>
      <c r="X22" s="28"/>
      <c r="Y22" s="28"/>
    </row>
    <row r="23" customFormat="false" ht="15" hidden="false" customHeight="false" outlineLevel="0" collapsed="false">
      <c r="A23" s="4" t="s">
        <v>362</v>
      </c>
      <c r="B23" s="19" t="n">
        <f aca="false">('مفروضات مشترک'!$B$52*B6)*(IF(AND(1&gt;'مفروضات مشترک'!$B$16-'مفروضات مشترک'!$B$23-1,1&lt;='مفروضات مشترک'!$B$16-1),'مفروضات مشترک'!$B$20/'مفروضات مشترک'!$B$23,0)+IF(AND(1&gt;'مفروضات مشترک'!$B$17-'مفروضات مشترک'!$B$23-1,1&lt;='مفروضات مشترک'!$B$17-1),'مفروضات مشترک'!$B$21/'مفروضات مشترک'!$B$23,0)+IF(AND(1&gt;'مفروضات مشترک'!$B$18-'مفروضات مشترک'!$B$23-1,1&lt;='مفروضات مشترک'!$B$18-1),'مفروضات مشترک'!$B$22/'مفروضات مشترک'!$B$23,0))</f>
        <v>414.4</v>
      </c>
      <c r="C23" s="19" t="n">
        <f aca="false">('مفروضات مشترک'!$B$52*C6)*(IF(AND(2&gt;'مفروضات مشترک'!$B$16-'مفروضات مشترک'!$B$23-1,2&lt;='مفروضات مشترک'!$B$16-1),'مفروضات مشترک'!$B$20/'مفروضات مشترک'!$B$23,0)+IF(AND(2&gt;'مفروضات مشترک'!$B$17-'مفروضات مشترک'!$B$23-1,2&lt;='مفروضات مشترک'!$B$17-1),'مفروضات مشترک'!$B$21/'مفروضات مشترک'!$B$23,0)+IF(AND(2&gt;'مفروضات مشترک'!$B$18-'مفروضات مشترک'!$B$23-1,2&lt;='مفروضات مشترک'!$B$18-1),'مفروضات مشترک'!$B$22/'مفروضات مشترک'!$B$23,0))</f>
        <v>414.4</v>
      </c>
      <c r="D23" s="19" t="n">
        <f aca="false">('مفروضات مشترک'!$B$52*D6)*(IF(AND(3&gt;'مفروضات مشترک'!$B$16-'مفروضات مشترک'!$B$23-1,3&lt;='مفروضات مشترک'!$B$16-1),'مفروضات مشترک'!$B$20/'مفروضات مشترک'!$B$23,0)+IF(AND(3&gt;'مفروضات مشترک'!$B$17-'مفروضات مشترک'!$B$23-1,3&lt;='مفروضات مشترک'!$B$17-1),'مفروضات مشترک'!$B$21/'مفروضات مشترک'!$B$23,0)+IF(AND(3&gt;'مفروضات مشترک'!$B$18-'مفروضات مشترک'!$B$23-1,3&lt;='مفروضات مشترک'!$B$18-1),'مفروضات مشترک'!$B$22/'مفروضات مشترک'!$B$23,0))</f>
        <v>414.4</v>
      </c>
      <c r="E23" s="19" t="n">
        <f aca="false">('مفروضات مشترک'!$B$52*E6)*(IF(AND(4&gt;'مفروضات مشترک'!$B$16-'مفروضات مشترک'!$B$23-1,4&lt;='مفروضات مشترک'!$B$16-1),'مفروضات مشترک'!$B$20/'مفروضات مشترک'!$B$23,0)+IF(AND(4&gt;'مفروضات مشترک'!$B$17-'مفروضات مشترک'!$B$23-1,4&lt;='مفروضات مشترک'!$B$17-1),'مفروضات مشترک'!$B$21/'مفروضات مشترک'!$B$23,0)+IF(AND(4&gt;'مفروضات مشترک'!$B$18-'مفروضات مشترک'!$B$23-1,4&lt;='مفروضات مشترک'!$B$18-1),'مفروضات مشترک'!$B$22/'مفروضات مشترک'!$B$23,0))</f>
        <v>414.4</v>
      </c>
      <c r="F23" s="19" t="n">
        <f aca="false">('مفروضات مشترک'!$B$52*F6)*(IF(AND(5&gt;'مفروضات مشترک'!$B$16-'مفروضات مشترک'!$B$23-1,5&lt;='مفروضات مشترک'!$B$16-1),'مفروضات مشترک'!$B$20/'مفروضات مشترک'!$B$23,0)+IF(AND(5&gt;'مفروضات مشترک'!$B$17-'مفروضات مشترک'!$B$23-1,5&lt;='مفروضات مشترک'!$B$17-1),'مفروضات مشترک'!$B$21/'مفروضات مشترک'!$B$23,0)+IF(AND(5&gt;'مفروضات مشترک'!$B$18-'مفروضات مشترک'!$B$23-1,5&lt;='مفروضات مشترک'!$B$18-1),'مفروضات مشترک'!$B$22/'مفروضات مشترک'!$B$23,0))</f>
        <v>414.4</v>
      </c>
      <c r="G23" s="19" t="n">
        <f aca="false">('مفروضات مشترک'!$B$52*G6)*(IF(AND(6&gt;'مفروضات مشترک'!$B$16-'مفروضات مشترک'!$B$23-1,6&lt;='مفروضات مشترک'!$B$16-1),'مفروضات مشترک'!$B$20/'مفروضات مشترک'!$B$23,0)+IF(AND(6&gt;'مفروضات مشترک'!$B$17-'مفروضات مشترک'!$B$23-1,6&lt;='مفروضات مشترک'!$B$17-1),'مفروضات مشترک'!$B$21/'مفروضات مشترک'!$B$23,0)+IF(AND(6&gt;'مفروضات مشترک'!$B$18-'مفروضات مشترک'!$B$23-1,6&lt;='مفروضات مشترک'!$B$18-1),'مفروضات مشترک'!$B$22/'مفروضات مشترک'!$B$23,0))</f>
        <v>745.92</v>
      </c>
      <c r="H23" s="19" t="n">
        <f aca="false">('مفروضات مشترک'!$B$52*H6)*(IF(AND(7&gt;'مفروضات مشترک'!$B$16-'مفروضات مشترک'!$B$23-1,7&lt;='مفروضات مشترک'!$B$16-1),'مفروضات مشترک'!$B$20/'مفروضات مشترک'!$B$23,0)+IF(AND(7&gt;'مفروضات مشترک'!$B$17-'مفروضات مشترک'!$B$23-1,7&lt;='مفروضات مشترک'!$B$17-1),'مفروضات مشترک'!$B$21/'مفروضات مشترک'!$B$23,0)+IF(AND(7&gt;'مفروضات مشترک'!$B$18-'مفروضات مشترک'!$B$23-1,7&lt;='مفروضات مشترک'!$B$18-1),'مفروضات مشترک'!$B$22/'مفروضات مشترک'!$B$23,0))</f>
        <v>745.92</v>
      </c>
      <c r="I23" s="19" t="n">
        <f aca="false">('مفروضات مشترک'!$B$52*I6)*(IF(AND(8&gt;'مفروضات مشترک'!$B$16-'مفروضات مشترک'!$B$23-1,8&lt;='مفروضات مشترک'!$B$16-1),'مفروضات مشترک'!$B$20/'مفروضات مشترک'!$B$23,0)+IF(AND(8&gt;'مفروضات مشترک'!$B$17-'مفروضات مشترک'!$B$23-1,8&lt;='مفروضات مشترک'!$B$17-1),'مفروضات مشترک'!$B$21/'مفروضات مشترک'!$B$23,0)+IF(AND(8&gt;'مفروضات مشترک'!$B$18-'مفروضات مشترک'!$B$23-1,8&lt;='مفروضات مشترک'!$B$18-1),'مفروضات مشترک'!$B$22/'مفروضات مشترک'!$B$23,0))</f>
        <v>745.92</v>
      </c>
      <c r="J23" s="19" t="n">
        <f aca="false">('مفروضات مشترک'!$B$52*J6)*(IF(AND(9&gt;'مفروضات مشترک'!$B$16-'مفروضات مشترک'!$B$23-1,9&lt;='مفروضات مشترک'!$B$16-1),'مفروضات مشترک'!$B$20/'مفروضات مشترک'!$B$23,0)+IF(AND(9&gt;'مفروضات مشترک'!$B$17-'مفروضات مشترک'!$B$23-1,9&lt;='مفروضات مشترک'!$B$17-1),'مفروضات مشترک'!$B$21/'مفروضات مشترک'!$B$23,0)+IF(AND(9&gt;'مفروضات مشترک'!$B$18-'مفروضات مشترک'!$B$23-1,9&lt;='مفروضات مشترک'!$B$18-1),'مفروضات مشترک'!$B$22/'مفروضات مشترک'!$B$23,0))</f>
        <v>745.92</v>
      </c>
      <c r="K23" s="19" t="n">
        <f aca="false">('مفروضات مشترک'!$B$52*K6)*(IF(AND(10&gt;'مفروضات مشترک'!$B$16-'مفروضات مشترک'!$B$23-1,10&lt;='مفروضات مشترک'!$B$16-1),'مفروضات مشترک'!$B$20/'مفروضات مشترک'!$B$23,0)+IF(AND(10&gt;'مفروضات مشترک'!$B$17-'مفروضات مشترک'!$B$23-1,10&lt;='مفروضات مشترک'!$B$17-1),'مفروضات مشترک'!$B$21/'مفروضات مشترک'!$B$23,0)+IF(AND(10&gt;'مفروضات مشترک'!$B$18-'مفروضات مشترک'!$B$23-1,10&lt;='مفروضات مشترک'!$B$18-1),'مفروضات مشترک'!$B$22/'مفروضات مشترک'!$B$23,0))</f>
        <v>745.92</v>
      </c>
      <c r="L23" s="19" t="n">
        <f aca="false">('مفروضات مشترک'!$B$52*L6)*(IF(AND(11&gt;'مفروضات مشترک'!$B$16-'مفروضات مشترک'!$B$23-1,11&lt;='مفروضات مشترک'!$B$16-1),'مفروضات مشترک'!$B$20/'مفروضات مشترک'!$B$23,0)+IF(AND(11&gt;'مفروضات مشترک'!$B$17-'مفروضات مشترک'!$B$23-1,11&lt;='مفروضات مشترک'!$B$17-1),'مفروضات مشترک'!$B$21/'مفروضات مشترک'!$B$23,0)+IF(AND(11&gt;'مفروضات مشترک'!$B$18-'مفروضات مشترک'!$B$23-1,11&lt;='مفروضات مشترک'!$B$18-1),'مفروضات مشترک'!$B$22/'مفروضات مشترک'!$B$23,0))</f>
        <v>0</v>
      </c>
      <c r="M23" s="19" t="n">
        <f aca="false">('مفروضات مشترک'!$B$52*M6)*(IF(AND(12&gt;'مفروضات مشترک'!$B$16-'مفروضات مشترک'!$B$23-1,12&lt;='مفروضات مشترک'!$B$16-1),'مفروضات مشترک'!$B$20/'مفروضات مشترک'!$B$23,0)+IF(AND(12&gt;'مفروضات مشترک'!$B$17-'مفروضات مشترک'!$B$23-1,12&lt;='مفروضات مشترک'!$B$17-1),'مفروضات مشترک'!$B$21/'مفروضات مشترک'!$B$23,0)+IF(AND(12&gt;'مفروضات مشترک'!$B$18-'مفروضات مشترک'!$B$23-1,12&lt;='مفروضات مشترک'!$B$18-1),'مفروضات مشترک'!$B$22/'مفروضات مشترک'!$B$23,0))</f>
        <v>0</v>
      </c>
      <c r="N23" s="19" t="n">
        <f aca="false">('مفروضات مشترک'!$B$52*N6)*(IF(AND(13&gt;'مفروضات مشترک'!$B$16-'مفروضات مشترک'!$B$23-1,13&lt;='مفروضات مشترک'!$B$16-1),'مفروضات مشترک'!$B$20/'مفروضات مشترک'!$B$23,0)+IF(AND(13&gt;'مفروضات مشترک'!$B$17-'مفروضات مشترک'!$B$23-1,13&lt;='مفروضات مشترک'!$B$17-1),'مفروضات مشترک'!$B$21/'مفروضات مشترک'!$B$23,0)+IF(AND(13&gt;'مفروضات مشترک'!$B$18-'مفروضات مشترک'!$B$23-1,13&lt;='مفروضات مشترک'!$B$18-1),'مفروضات مشترک'!$B$22/'مفروضات مشترک'!$B$23,0))</f>
        <v>0</v>
      </c>
      <c r="O23" s="19" t="n">
        <f aca="false">('مفروضات مشترک'!$B$52*O6)*(IF(AND(14&gt;'مفروضات مشترک'!$B$16-'مفروضات مشترک'!$B$23-1,14&lt;='مفروضات مشترک'!$B$16-1),'مفروضات مشترک'!$B$20/'مفروضات مشترک'!$B$23,0)+IF(AND(14&gt;'مفروضات مشترک'!$B$17-'مفروضات مشترک'!$B$23-1,14&lt;='مفروضات مشترک'!$B$17-1),'مفروضات مشترک'!$B$21/'مفروضات مشترک'!$B$23,0)+IF(AND(14&gt;'مفروضات مشترک'!$B$18-'مفروضات مشترک'!$B$23-1,14&lt;='مفروضات مشترک'!$B$18-1),'مفروضات مشترک'!$B$22/'مفروضات مشترک'!$B$23,0))</f>
        <v>1160.32</v>
      </c>
      <c r="P23" s="19" t="n">
        <f aca="false">('مفروضات مشترک'!$B$52*P6)*(IF(AND(15&gt;'مفروضات مشترک'!$B$16-'مفروضات مشترک'!$B$23-1,15&lt;='مفروضات مشترک'!$B$16-1),'مفروضات مشترک'!$B$20/'مفروضات مشترک'!$B$23,0)+IF(AND(15&gt;'مفروضات مشترک'!$B$17-'مفروضات مشترک'!$B$23-1,15&lt;='مفروضات مشترک'!$B$17-1),'مفروضات مشترک'!$B$21/'مفروضات مشترک'!$B$23,0)+IF(AND(15&gt;'مفروضات مشترک'!$B$18-'مفروضات مشترک'!$B$23-1,15&lt;='مفروضات مشترک'!$B$18-1),'مفروضات مشترک'!$B$22/'مفروضات مشترک'!$B$23,0))</f>
        <v>1160.32</v>
      </c>
      <c r="Q23" s="19" t="n">
        <f aca="false">('مفروضات مشترک'!$B$52*Q6)*(IF(AND(16&gt;'مفروضات مشترک'!$B$16-'مفروضات مشترک'!$B$23-1,16&lt;='مفروضات مشترک'!$B$16-1),'مفروضات مشترک'!$B$20/'مفروضات مشترک'!$B$23,0)+IF(AND(16&gt;'مفروضات مشترک'!$B$17-'مفروضات مشترک'!$B$23-1,16&lt;='مفروضات مشترک'!$B$17-1),'مفروضات مشترک'!$B$21/'مفروضات مشترک'!$B$23,0)+IF(AND(16&gt;'مفروضات مشترک'!$B$18-'مفروضات مشترک'!$B$23-1,16&lt;='مفروضات مشترک'!$B$18-1),'مفروضات مشترک'!$B$22/'مفروضات مشترک'!$B$23,0))</f>
        <v>1160.32</v>
      </c>
      <c r="R23" s="19" t="n">
        <f aca="false">('مفروضات مشترک'!$B$52*R6)*(IF(AND(17&gt;'مفروضات مشترک'!$B$16-'مفروضات مشترک'!$B$23-1,17&lt;='مفروضات مشترک'!$B$16-1),'مفروضات مشترک'!$B$20/'مفروضات مشترک'!$B$23,0)+IF(AND(17&gt;'مفروضات مشترک'!$B$17-'مفروضات مشترک'!$B$23-1,17&lt;='مفروضات مشترک'!$B$17-1),'مفروضات مشترک'!$B$21/'مفروضات مشترک'!$B$23,0)+IF(AND(17&gt;'مفروضات مشترک'!$B$18-'مفروضات مشترک'!$B$23-1,17&lt;='مفروضات مشترک'!$B$18-1),'مفروضات مشترک'!$B$22/'مفروضات مشترک'!$B$23,0))</f>
        <v>1160.32</v>
      </c>
      <c r="S23" s="19" t="n">
        <f aca="false">('مفروضات مشترک'!$B$52*S6)*(IF(AND(18&gt;'مفروضات مشترک'!$B$16-'مفروضات مشترک'!$B$23-1,18&lt;='مفروضات مشترک'!$B$16-1),'مفروضات مشترک'!$B$20/'مفروضات مشترک'!$B$23,0)+IF(AND(18&gt;'مفروضات مشترک'!$B$17-'مفروضات مشترک'!$B$23-1,18&lt;='مفروضات مشترک'!$B$17-1),'مفروضات مشترک'!$B$21/'مفروضات مشترک'!$B$23,0)+IF(AND(18&gt;'مفروضات مشترک'!$B$18-'مفروضات مشترک'!$B$23-1,18&lt;='مفروضات مشترک'!$B$18-1),'مفروضات مشترک'!$B$22/'مفروضات مشترک'!$B$23,0))</f>
        <v>1160.32</v>
      </c>
      <c r="T23" s="19" t="n">
        <f aca="false">('مفروضات مشترک'!$B$52*T6)*(IF(AND(19&gt;'مفروضات مشترک'!$B$16-'مفروضات مشترک'!$B$23-1,19&lt;='مفروضات مشترک'!$B$16-1),'مفروضات مشترک'!$B$20/'مفروضات مشترک'!$B$23,0)+IF(AND(19&gt;'مفروضات مشترک'!$B$17-'مفروضات مشترک'!$B$23-1,19&lt;='مفروضات مشترک'!$B$17-1),'مفروضات مشترک'!$B$21/'مفروضات مشترک'!$B$23,0)+IF(AND(19&gt;'مفروضات مشترک'!$B$18-'مفروضات مشترک'!$B$23-1,19&lt;='مفروضات مشترک'!$B$18-1),'مفروضات مشترک'!$B$22/'مفروضات مشترک'!$B$23,0))</f>
        <v>0</v>
      </c>
      <c r="U23" s="19" t="n">
        <f aca="false">('مفروضات مشترک'!$B$52*U6)*(IF(AND(20&gt;'مفروضات مشترک'!$B$16-'مفروضات مشترک'!$B$23-1,20&lt;='مفروضات مشترک'!$B$16-1),'مفروضات مشترک'!$B$20/'مفروضات مشترک'!$B$23,0)+IF(AND(20&gt;'مفروضات مشترک'!$B$17-'مفروضات مشترک'!$B$23-1,20&lt;='مفروضات مشترک'!$B$17-1),'مفروضات مشترک'!$B$21/'مفروضات مشترک'!$B$23,0)+IF(AND(20&gt;'مفروضات مشترک'!$B$18-'مفروضات مشترک'!$B$23-1,20&lt;='مفروضات مشترک'!$B$18-1),'مفروضات مشترک'!$B$22/'مفروضات مشترک'!$B$23,0))</f>
        <v>0</v>
      </c>
      <c r="V23" s="19" t="n">
        <f aca="false">('مفروضات مشترک'!$B$52*V6)*(IF(AND(21&gt;'مفروضات مشترک'!$B$16-'مفروضات مشترک'!$B$23-1,21&lt;='مفروضات مشترک'!$B$16-1),'مفروضات مشترک'!$B$20/'مفروضات مشترک'!$B$23,0)+IF(AND(21&gt;'مفروضات مشترک'!$B$17-'مفروضات مشترک'!$B$23-1,21&lt;='مفروضات مشترک'!$B$17-1),'مفروضات مشترک'!$B$21/'مفروضات مشترک'!$B$23,0)+IF(AND(21&gt;'مفروضات مشترک'!$B$18-'مفروضات مشترک'!$B$23-1,21&lt;='مفروضات مشترک'!$B$18-1),'مفروضات مشترک'!$B$22/'مفروضات مشترک'!$B$23,0))</f>
        <v>0</v>
      </c>
      <c r="W23" s="19" t="n">
        <f aca="false">('مفروضات مشترک'!$B$52*W6)*(IF(AND(22&gt;'مفروضات مشترک'!$B$16-'مفروضات مشترک'!$B$23-1,22&lt;='مفروضات مشترک'!$B$16-1),'مفروضات مشترک'!$B$20/'مفروضات مشترک'!$B$23,0)+IF(AND(22&gt;'مفروضات مشترک'!$B$17-'مفروضات مشترک'!$B$23-1,22&lt;='مفروضات مشترک'!$B$17-1),'مفروضات مشترک'!$B$21/'مفروضات مشترک'!$B$23,0)+IF(AND(22&gt;'مفروضات مشترک'!$B$18-'مفروضات مشترک'!$B$23-1,22&lt;='مفروضات مشترک'!$B$18-1),'مفروضات مشترک'!$B$22/'مفروضات مشترک'!$B$23,0))</f>
        <v>0</v>
      </c>
      <c r="X23" s="19" t="n">
        <f aca="false">('مفروضات مشترک'!$B$52*X6)*(IF(AND(23&gt;'مفروضات مشترک'!$B$16-'مفروضات مشترک'!$B$23-1,23&lt;='مفروضات مشترک'!$B$16-1),'مفروضات مشترک'!$B$20/'مفروضات مشترک'!$B$23,0)+IF(AND(23&gt;'مفروضات مشترک'!$B$17-'مفروضات مشترک'!$B$23-1,23&lt;='مفروضات مشترک'!$B$17-1),'مفروضات مشترک'!$B$21/'مفروضات مشترک'!$B$23,0)+IF(AND(23&gt;'مفروضات مشترک'!$B$18-'مفروضات مشترک'!$B$23-1,23&lt;='مفروضات مشترک'!$B$18-1),'مفروضات مشترک'!$B$22/'مفروضات مشترک'!$B$23,0))</f>
        <v>0</v>
      </c>
      <c r="Y23" s="19" t="n">
        <f aca="false">('مفروضات مشترک'!$B$52*Y6)*(IF(AND(24&gt;'مفروضات مشترک'!$B$16-'مفروضات مشترک'!$B$23-1,24&lt;='مفروضات مشترک'!$B$16-1),'مفروضات مشترک'!$B$20/'مفروضات مشترک'!$B$23,0)+IF(AND(24&gt;'مفروضات مشترک'!$B$17-'مفروضات مشترک'!$B$23-1,24&lt;='مفروضات مشترک'!$B$17-1),'مفروضات مشترک'!$B$21/'مفروضات مشترک'!$B$23,0)+IF(AND(24&gt;'مفروضات مشترک'!$B$18-'مفروضات مشترک'!$B$23-1,24&lt;='مفروضات مشترک'!$B$18-1),'مفروضات مشترک'!$B$22/'مفروضات مشترک'!$B$23,0))</f>
        <v>0</v>
      </c>
    </row>
    <row r="24" customFormat="false" ht="15" hidden="false" customHeight="false" outlineLevel="0" collapsed="false">
      <c r="A24" s="4" t="s">
        <v>363</v>
      </c>
      <c r="B24" s="19" t="n">
        <f aca="false">B16*'اقتصاد واحد'!$C$28*B6</f>
        <v>0</v>
      </c>
      <c r="C24" s="19" t="n">
        <f aca="false">C16*'اقتصاد واحد'!$C$28*C6</f>
        <v>0</v>
      </c>
      <c r="D24" s="19" t="n">
        <f aca="false">D16*'اقتصاد واحد'!$C$28*D6</f>
        <v>0</v>
      </c>
      <c r="E24" s="19" t="n">
        <f aca="false">E16*'اقتصاد واحد'!$C$28*E6</f>
        <v>0</v>
      </c>
      <c r="F24" s="19" t="n">
        <f aca="false">F16*'اقتصاد واحد'!$C$28*F6</f>
        <v>0</v>
      </c>
      <c r="G24" s="19" t="n">
        <f aca="false">G16*'اقتصاد واحد'!$C$28*G6</f>
        <v>0</v>
      </c>
      <c r="H24" s="19" t="n">
        <f aca="false">H16*'اقتصاد واحد'!$C$28*H6</f>
        <v>0</v>
      </c>
      <c r="I24" s="19" t="n">
        <f aca="false">I16*'اقتصاد واحد'!$C$28*I6</f>
        <v>0</v>
      </c>
      <c r="J24" s="19" t="n">
        <f aca="false">J16*'اقتصاد واحد'!$C$28*J6</f>
        <v>0</v>
      </c>
      <c r="K24" s="19" t="n">
        <f aca="false">K16*'اقتصاد واحد'!$C$28*K6</f>
        <v>0</v>
      </c>
      <c r="L24" s="19" t="n">
        <f aca="false">L16*'اقتصاد واحد'!$C$28*L6</f>
        <v>19.3454545454545</v>
      </c>
      <c r="M24" s="19" t="n">
        <f aca="false">M16*'اقتصاد واحد'!$C$28*M6</f>
        <v>19.3454545454545</v>
      </c>
      <c r="N24" s="19" t="n">
        <f aca="false">N16*'اقتصاد واحد'!$C$28*N6</f>
        <v>27.0836363636364</v>
      </c>
      <c r="O24" s="19" t="n">
        <f aca="false">O16*'اقتصاد واحد'!$C$28*O6</f>
        <v>27.0836363636364</v>
      </c>
      <c r="P24" s="19" t="n">
        <f aca="false">P16*'اقتصاد واحد'!$C$28*P6</f>
        <v>27.0836363636364</v>
      </c>
      <c r="Q24" s="19" t="n">
        <f aca="false">Q16*'اقتصاد واحد'!$C$28*Q6</f>
        <v>27.0836363636364</v>
      </c>
      <c r="R24" s="19" t="n">
        <f aca="false">R16*'اقتصاد واحد'!$C$28*R6</f>
        <v>27.0836363636364</v>
      </c>
      <c r="S24" s="19" t="n">
        <f aca="false">S16*'اقتصاد واحد'!$C$28*S6</f>
        <v>27.0836363636364</v>
      </c>
      <c r="T24" s="19" t="n">
        <f aca="false">T16*'اقتصاد واحد'!$C$28*T6</f>
        <v>27.0836363636364</v>
      </c>
      <c r="U24" s="19" t="n">
        <f aca="false">U16*'اقتصاد واحد'!$C$28*U6</f>
        <v>27.0836363636364</v>
      </c>
      <c r="V24" s="19" t="n">
        <f aca="false">V16*'اقتصاد واحد'!$C$28*V6</f>
        <v>27.0836363636364</v>
      </c>
      <c r="W24" s="19" t="n">
        <f aca="false">W16*'اقتصاد واحد'!$C$28*W6</f>
        <v>27.0836363636364</v>
      </c>
      <c r="X24" s="19" t="n">
        <f aca="false">X16*'اقتصاد واحد'!$C$28*X6</f>
        <v>27.0836363636364</v>
      </c>
      <c r="Y24" s="19" t="n">
        <f aca="false">Y16*'اقتصاد واحد'!$C$28*Y6</f>
        <v>27.0836363636364</v>
      </c>
    </row>
    <row r="25" customFormat="false" ht="15" hidden="false" customHeight="false" outlineLevel="0" collapsed="false">
      <c r="A25" s="4" t="s">
        <v>364</v>
      </c>
      <c r="B25" s="19" t="n">
        <f aca="false">B17*'اقتصاد واحد'!$C$18*B6*MAX(0.5,B8)</f>
        <v>0</v>
      </c>
      <c r="C25" s="19" t="n">
        <f aca="false">C17*'اقتصاد واحد'!$C$18*C6*MAX(0.5,C8)</f>
        <v>0</v>
      </c>
      <c r="D25" s="19" t="n">
        <f aca="false">D17*'اقتصاد واحد'!$C$18*D6*MAX(0.5,D8)</f>
        <v>0</v>
      </c>
      <c r="E25" s="19" t="n">
        <f aca="false">E17*'اقتصاد واحد'!$C$18*E6*MAX(0.5,E8)</f>
        <v>0</v>
      </c>
      <c r="F25" s="19" t="n">
        <f aca="false">F17*'اقتصاد واحد'!$C$18*F6*MAX(0.5,F8)</f>
        <v>0</v>
      </c>
      <c r="G25" s="19" t="n">
        <f aca="false">G17*'اقتصاد واحد'!$C$18*G6*MAX(0.5,G8)</f>
        <v>0</v>
      </c>
      <c r="H25" s="19" t="n">
        <f aca="false">H17*'اقتصاد واحد'!$C$18*H6*MAX(0.5,H8)</f>
        <v>0</v>
      </c>
      <c r="I25" s="19" t="n">
        <f aca="false">I17*'اقتصاد واحد'!$C$18*I6*MAX(0.5,I8)</f>
        <v>0</v>
      </c>
      <c r="J25" s="19" t="n">
        <f aca="false">J17*'اقتصاد واحد'!$C$18*J6*MAX(0.5,J8)</f>
        <v>0</v>
      </c>
      <c r="K25" s="19" t="n">
        <f aca="false">K17*'اقتصاد واحد'!$C$18*K6*MAX(0.5,K8)</f>
        <v>0</v>
      </c>
      <c r="L25" s="19" t="n">
        <f aca="false">L17*'اقتصاد واحد'!$C$18*L6*MAX(0.5,L8)</f>
        <v>2.7370601472</v>
      </c>
      <c r="M25" s="19" t="n">
        <f aca="false">M17*'اقتصاد واحد'!$C$18*M6*MAX(0.5,M8)</f>
        <v>5.417098208</v>
      </c>
      <c r="N25" s="19" t="n">
        <f aca="false">N17*'اقتصاد واحد'!$C$18*N6*MAX(0.5,N8)</f>
        <v>11.2578229995467</v>
      </c>
      <c r="O25" s="19" t="n">
        <f aca="false">O17*'اقتصاد واحد'!$C$18*O6*MAX(0.5,O8)</f>
        <v>14.8551692264694</v>
      </c>
      <c r="P25" s="19" t="n">
        <f aca="false">P17*'اقتصاد واحد'!$C$18*P6*MAX(0.5,P8)</f>
        <v>18.3775707403313</v>
      </c>
      <c r="Q25" s="19" t="n">
        <f aca="false">Q17*'اقتصاد واحد'!$C$18*Q6*MAX(0.5,Q8)</f>
        <v>21.8265888893211</v>
      </c>
      <c r="R25" s="19" t="n">
        <f aca="false">R17*'اقتصاد واحد'!$C$18*R6*MAX(0.5,R8)</f>
        <v>25.2037524935402</v>
      </c>
      <c r="S25" s="19" t="n">
        <f aca="false">S17*'اقتصاد واحد'!$C$18*S6*MAX(0.5,S8)</f>
        <v>28.5105585226715</v>
      </c>
      <c r="T25" s="19" t="n">
        <f aca="false">T17*'اقتصاد واحد'!$C$18*T6*MAX(0.5,T8)</f>
        <v>42.3312970127055</v>
      </c>
      <c r="U25" s="19" t="n">
        <f aca="false">U17*'اقتصاد واحد'!$C$18*U6*MAX(0.5,U8)</f>
        <v>46.5585739330475</v>
      </c>
      <c r="V25" s="19" t="n">
        <f aca="false">V17*'اقتصاد واحد'!$C$18*V6*MAX(0.5,V8)</f>
        <v>50.6977825842157</v>
      </c>
      <c r="W25" s="19" t="n">
        <f aca="false">W17*'اقتصاد واحد'!$C$18*W6*MAX(0.5,W8)</f>
        <v>54.7507577218179</v>
      </c>
      <c r="X25" s="19" t="n">
        <f aca="false">X17*'اقتصاد واحد'!$C$18*X6*MAX(0.5,X8)</f>
        <v>58.7192958773866</v>
      </c>
      <c r="Y25" s="19" t="n">
        <f aca="false">Y17*'اقتصاد واحد'!$C$18*Y6*MAX(0.5,Y8)</f>
        <v>62.6051561547144</v>
      </c>
    </row>
    <row r="26" customFormat="false" ht="15" hidden="false" customHeight="false" outlineLevel="0" collapsed="false">
      <c r="A26" s="4" t="s">
        <v>365</v>
      </c>
      <c r="B26" s="19" t="n">
        <f aca="false">B16*'مفروضات مشترک'!$B$39*B6</f>
        <v>0</v>
      </c>
      <c r="C26" s="19" t="n">
        <f aca="false">C16*'مفروضات مشترک'!$B$39*C6</f>
        <v>0</v>
      </c>
      <c r="D26" s="19" t="n">
        <f aca="false">D16*'مفروضات مشترک'!$B$39*D6</f>
        <v>0</v>
      </c>
      <c r="E26" s="19" t="n">
        <f aca="false">E16*'مفروضات مشترک'!$B$39*E6</f>
        <v>0</v>
      </c>
      <c r="F26" s="19" t="n">
        <f aca="false">F16*'مفروضات مشترک'!$B$39*F6</f>
        <v>0</v>
      </c>
      <c r="G26" s="19" t="n">
        <f aca="false">G16*'مفروضات مشترک'!$B$39*G6</f>
        <v>0</v>
      </c>
      <c r="H26" s="19" t="n">
        <f aca="false">H16*'مفروضات مشترک'!$B$39*H6</f>
        <v>0</v>
      </c>
      <c r="I26" s="19" t="n">
        <f aca="false">I16*'مفروضات مشترک'!$B$39*I6</f>
        <v>0</v>
      </c>
      <c r="J26" s="19" t="n">
        <f aca="false">J16*'مفروضات مشترک'!$B$39*J6</f>
        <v>0</v>
      </c>
      <c r="K26" s="19" t="n">
        <f aca="false">K16*'مفروضات مشترک'!$B$39*K6</f>
        <v>0</v>
      </c>
      <c r="L26" s="19" t="n">
        <f aca="false">L16*'مفروضات مشترک'!$B$39*L6</f>
        <v>7.2</v>
      </c>
      <c r="M26" s="19" t="n">
        <f aca="false">M16*'مفروضات مشترک'!$B$39*M6</f>
        <v>7.2</v>
      </c>
      <c r="N26" s="19" t="n">
        <f aca="false">N16*'مفروضات مشترک'!$B$39*N6</f>
        <v>10.08</v>
      </c>
      <c r="O26" s="19" t="n">
        <f aca="false">O16*'مفروضات مشترک'!$B$39*O6</f>
        <v>10.08</v>
      </c>
      <c r="P26" s="19" t="n">
        <f aca="false">P16*'مفروضات مشترک'!$B$39*P6</f>
        <v>10.08</v>
      </c>
      <c r="Q26" s="19" t="n">
        <f aca="false">Q16*'مفروضات مشترک'!$B$39*Q6</f>
        <v>10.08</v>
      </c>
      <c r="R26" s="19" t="n">
        <f aca="false">R16*'مفروضات مشترک'!$B$39*R6</f>
        <v>10.08</v>
      </c>
      <c r="S26" s="19" t="n">
        <f aca="false">S16*'مفروضات مشترک'!$B$39*S6</f>
        <v>10.08</v>
      </c>
      <c r="T26" s="19" t="n">
        <f aca="false">T16*'مفروضات مشترک'!$B$39*T6</f>
        <v>10.08</v>
      </c>
      <c r="U26" s="19" t="n">
        <f aca="false">U16*'مفروضات مشترک'!$B$39*U6</f>
        <v>10.08</v>
      </c>
      <c r="V26" s="19" t="n">
        <f aca="false">V16*'مفروضات مشترک'!$B$39*V6</f>
        <v>10.08</v>
      </c>
      <c r="W26" s="19" t="n">
        <f aca="false">W16*'مفروضات مشترک'!$B$39*W6</f>
        <v>10.08</v>
      </c>
      <c r="X26" s="19" t="n">
        <f aca="false">X16*'مفروضات مشترک'!$B$39*X6</f>
        <v>10.08</v>
      </c>
      <c r="Y26" s="19" t="n">
        <f aca="false">Y16*'مفروضات مشترک'!$B$39*Y6</f>
        <v>10.08</v>
      </c>
    </row>
    <row r="27" customFormat="false" ht="15" hidden="false" customHeight="false" outlineLevel="0" collapsed="false">
      <c r="A27" s="4" t="s">
        <v>366</v>
      </c>
      <c r="B27" s="19" t="n">
        <f aca="false">IF(1&gt;='مفروضات مشترک'!$B$16,سناریوها!$C$18*'مفروضات مشترک'!$B$53*B6*MAX(0.6,B8),0)</f>
        <v>0</v>
      </c>
      <c r="C27" s="19" t="n">
        <f aca="false">IF(2&gt;='مفروضات مشترک'!$B$16,سناریوها!$C$18*'مفروضات مشترک'!$B$53*C6*MAX(0.6,C8),0)</f>
        <v>0</v>
      </c>
      <c r="D27" s="19" t="n">
        <f aca="false">IF(3&gt;='مفروضات مشترک'!$B$16,سناریوها!$C$18*'مفروضات مشترک'!$B$53*D6*MAX(0.6,D8),0)</f>
        <v>0</v>
      </c>
      <c r="E27" s="19" t="n">
        <f aca="false">IF(4&gt;='مفروضات مشترک'!$B$16,سناریوها!$C$18*'مفروضات مشترک'!$B$53*E6*MAX(0.6,E8),0)</f>
        <v>0</v>
      </c>
      <c r="F27" s="19" t="n">
        <f aca="false">IF(5&gt;='مفروضات مشترک'!$B$16,سناریوها!$C$18*'مفروضات مشترک'!$B$53*F6*MAX(0.6,F8),0)</f>
        <v>0</v>
      </c>
      <c r="G27" s="19" t="n">
        <f aca="false">IF(6&gt;='مفروضات مشترک'!$B$16,سناریوها!$C$18*'مفروضات مشترک'!$B$53*G6*MAX(0.6,G8),0)</f>
        <v>532</v>
      </c>
      <c r="H27" s="19" t="n">
        <f aca="false">IF(7&gt;='مفروضات مشترک'!$B$16,سناریوها!$C$18*'مفروضات مشترک'!$B$53*H6*MAX(0.6,H8),0)</f>
        <v>532</v>
      </c>
      <c r="I27" s="19" t="n">
        <f aca="false">IF(8&gt;='مفروضات مشترک'!$B$16,سناریوها!$C$18*'مفروضات مشترک'!$B$53*I6*MAX(0.6,I8),0)</f>
        <v>532</v>
      </c>
      <c r="J27" s="19" t="n">
        <f aca="false">IF(9&gt;='مفروضات مشترک'!$B$16,سناریوها!$C$18*'مفروضات مشترک'!$B$53*J6*MAX(0.6,J8),0)</f>
        <v>532</v>
      </c>
      <c r="K27" s="19" t="n">
        <f aca="false">IF(10&gt;='مفروضات مشترک'!$B$16,سناریوها!$C$18*'مفروضات مشترک'!$B$53*K6*MAX(0.6,K8),0)</f>
        <v>532</v>
      </c>
      <c r="L27" s="19" t="n">
        <f aca="false">IF(11&gt;='مفروضات مشترک'!$B$16,سناریوها!$C$18*'مفروضات مشترک'!$B$53*L6*MAX(0.6,L8),0)</f>
        <v>665</v>
      </c>
      <c r="M27" s="19" t="n">
        <f aca="false">IF(12&gt;='مفروضات مشترک'!$B$16,سناریوها!$C$18*'مفروضات مشترک'!$B$53*M6*MAX(0.6,M8),0)</f>
        <v>665</v>
      </c>
      <c r="N27" s="19" t="n">
        <f aca="false">IF(13&gt;='مفروضات مشترک'!$B$16,سناریوها!$C$18*'مفروضات مشترک'!$B$53*N6*MAX(0.6,N8),0)</f>
        <v>931</v>
      </c>
      <c r="O27" s="19" t="n">
        <f aca="false">IF(14&gt;='مفروضات مشترک'!$B$16,سناریوها!$C$18*'مفروضات مشترک'!$B$53*O6*MAX(0.6,O8),0)</f>
        <v>931</v>
      </c>
      <c r="P27" s="19" t="n">
        <f aca="false">IF(15&gt;='مفروضات مشترک'!$B$16,سناریوها!$C$18*'مفروضات مشترک'!$B$53*P6*MAX(0.6,P8),0)</f>
        <v>931</v>
      </c>
      <c r="Q27" s="19" t="n">
        <f aca="false">IF(16&gt;='مفروضات مشترک'!$B$16,سناریوها!$C$18*'مفروضات مشترک'!$B$53*Q6*MAX(0.6,Q8),0)</f>
        <v>931</v>
      </c>
      <c r="R27" s="19" t="n">
        <f aca="false">IF(17&gt;='مفروضات مشترک'!$B$16,سناریوها!$C$18*'مفروضات مشترک'!$B$53*R6*MAX(0.6,R8),0)</f>
        <v>931</v>
      </c>
      <c r="S27" s="19" t="n">
        <f aca="false">IF(18&gt;='مفروضات مشترک'!$B$16,سناریوها!$C$18*'مفروضات مشترک'!$B$53*S6*MAX(0.6,S8),0)</f>
        <v>931</v>
      </c>
      <c r="T27" s="19" t="n">
        <f aca="false">IF(19&gt;='مفروضات مشترک'!$B$16,سناریوها!$C$18*'مفروضات مشترک'!$B$53*T6*MAX(0.6,T8),0)</f>
        <v>1241.33333333333</v>
      </c>
      <c r="U27" s="19" t="n">
        <f aca="false">IF(20&gt;='مفروضات مشترک'!$B$16,سناریوها!$C$18*'مفروضات مشترک'!$B$53*U6*MAX(0.6,U8),0)</f>
        <v>1241.33333333333</v>
      </c>
      <c r="V27" s="19" t="n">
        <f aca="false">IF(21&gt;='مفروضات مشترک'!$B$16,سناریوها!$C$18*'مفروضات مشترک'!$B$53*V6*MAX(0.6,V8),0)</f>
        <v>1241.33333333333</v>
      </c>
      <c r="W27" s="19" t="n">
        <f aca="false">IF(22&gt;='مفروضات مشترک'!$B$16,سناریوها!$C$18*'مفروضات مشترک'!$B$53*W6*MAX(0.6,W8),0)</f>
        <v>1241.33333333333</v>
      </c>
      <c r="X27" s="19" t="n">
        <f aca="false">IF(23&gt;='مفروضات مشترک'!$B$16,سناریوها!$C$18*'مفروضات مشترک'!$B$53*X6*MAX(0.6,X8),0)</f>
        <v>1241.33333333333</v>
      </c>
      <c r="Y27" s="19" t="n">
        <f aca="false">IF(24&gt;='مفروضات مشترک'!$B$16,سناریوها!$C$18*'مفروضات مشترک'!$B$53*Y6*MAX(0.6,Y8),0)</f>
        <v>1241.33333333333</v>
      </c>
    </row>
    <row r="28" customFormat="false" ht="15" hidden="false" customHeight="false" outlineLevel="0" collapsed="false">
      <c r="A28" s="17" t="s">
        <v>367</v>
      </c>
      <c r="B28" s="13" t="n">
        <f aca="false">SUM(B23:B27)</f>
        <v>414.4</v>
      </c>
      <c r="C28" s="13" t="n">
        <f aca="false">SUM(C23:C27)</f>
        <v>414.4</v>
      </c>
      <c r="D28" s="13" t="n">
        <f aca="false">SUM(D23:D27)</f>
        <v>414.4</v>
      </c>
      <c r="E28" s="13" t="n">
        <f aca="false">SUM(E23:E27)</f>
        <v>414.4</v>
      </c>
      <c r="F28" s="13" t="n">
        <f aca="false">SUM(F23:F27)</f>
        <v>414.4</v>
      </c>
      <c r="G28" s="13" t="n">
        <f aca="false">SUM(G23:G27)</f>
        <v>1277.92</v>
      </c>
      <c r="H28" s="13" t="n">
        <f aca="false">SUM(H23:H27)</f>
        <v>1277.92</v>
      </c>
      <c r="I28" s="13" t="n">
        <f aca="false">SUM(I23:I27)</f>
        <v>1277.92</v>
      </c>
      <c r="J28" s="13" t="n">
        <f aca="false">SUM(J23:J27)</f>
        <v>1277.92</v>
      </c>
      <c r="K28" s="13" t="n">
        <f aca="false">SUM(K23:K27)</f>
        <v>1277.92</v>
      </c>
      <c r="L28" s="13" t="n">
        <f aca="false">SUM(L23:L27)</f>
        <v>694.282514692655</v>
      </c>
      <c r="M28" s="13" t="n">
        <f aca="false">SUM(M23:M27)</f>
        <v>696.962552753455</v>
      </c>
      <c r="N28" s="13" t="n">
        <f aca="false">SUM(N23:N27)</f>
        <v>979.421459363183</v>
      </c>
      <c r="O28" s="13" t="n">
        <f aca="false">SUM(O23:O27)</f>
        <v>2143.33880559011</v>
      </c>
      <c r="P28" s="13" t="n">
        <f aca="false">SUM(P23:P27)</f>
        <v>2146.86120710397</v>
      </c>
      <c r="Q28" s="13" t="n">
        <f aca="false">SUM(Q23:Q27)</f>
        <v>2150.31022525296</v>
      </c>
      <c r="R28" s="13" t="n">
        <f aca="false">SUM(R23:R27)</f>
        <v>2153.68738885718</v>
      </c>
      <c r="S28" s="13" t="n">
        <f aca="false">SUM(S23:S27)</f>
        <v>2156.99419488631</v>
      </c>
      <c r="T28" s="13" t="n">
        <f aca="false">SUM(T23:T27)</f>
        <v>1320.82826670968</v>
      </c>
      <c r="U28" s="13" t="n">
        <f aca="false">SUM(U23:U27)</f>
        <v>1325.05554363002</v>
      </c>
      <c r="V28" s="13" t="n">
        <f aca="false">SUM(V23:V27)</f>
        <v>1329.19475228119</v>
      </c>
      <c r="W28" s="13" t="n">
        <f aca="false">SUM(W23:W27)</f>
        <v>1333.24772741879</v>
      </c>
      <c r="X28" s="13" t="n">
        <f aca="false">SUM(X23:X27)</f>
        <v>1337.21626557436</v>
      </c>
      <c r="Y28" s="13" t="n">
        <f aca="false">SUM(Y23:Y27)</f>
        <v>1341.10212585168</v>
      </c>
    </row>
    <row r="29" customFormat="false" ht="15" hidden="false" customHeight="false" outlineLevel="0" collapsed="false">
      <c r="A29" s="27" t="s">
        <v>368</v>
      </c>
      <c r="B29" s="28"/>
      <c r="C29" s="28"/>
      <c r="D29" s="28"/>
      <c r="E29" s="28"/>
      <c r="F29" s="28"/>
      <c r="G29" s="28"/>
      <c r="H29" s="28"/>
      <c r="I29" s="28"/>
      <c r="J29" s="28"/>
      <c r="K29" s="28"/>
      <c r="L29" s="28"/>
      <c r="M29" s="28"/>
      <c r="N29" s="28"/>
      <c r="O29" s="28"/>
      <c r="P29" s="28"/>
      <c r="Q29" s="28"/>
      <c r="R29" s="28"/>
      <c r="S29" s="28"/>
      <c r="T29" s="28"/>
      <c r="U29" s="28"/>
      <c r="V29" s="28"/>
      <c r="W29" s="28"/>
      <c r="X29" s="28"/>
      <c r="Y29" s="28"/>
    </row>
    <row r="30" customFormat="false" ht="15" hidden="false" customHeight="false" outlineLevel="0" collapsed="false">
      <c r="A30" s="4" t="s">
        <v>369</v>
      </c>
      <c r="B30" s="19" t="n">
        <f aca="false">B21-B25-B24</f>
        <v>0</v>
      </c>
      <c r="C30" s="19" t="n">
        <f aca="false">C21-C25-C24</f>
        <v>0</v>
      </c>
      <c r="D30" s="19" t="n">
        <f aca="false">D21-D25-D24</f>
        <v>0</v>
      </c>
      <c r="E30" s="19" t="n">
        <f aca="false">E21-E25-E24</f>
        <v>0</v>
      </c>
      <c r="F30" s="19" t="n">
        <f aca="false">F21-F25-F24</f>
        <v>0</v>
      </c>
      <c r="G30" s="19" t="n">
        <f aca="false">G21-G25-G24</f>
        <v>0</v>
      </c>
      <c r="H30" s="19" t="n">
        <f aca="false">H21-H25-H24</f>
        <v>0</v>
      </c>
      <c r="I30" s="19" t="n">
        <f aca="false">I21-I25-I24</f>
        <v>0</v>
      </c>
      <c r="J30" s="19" t="n">
        <f aca="false">J21-J25-J24</f>
        <v>0</v>
      </c>
      <c r="K30" s="19" t="n">
        <f aca="false">K21-K25-K24</f>
        <v>0</v>
      </c>
      <c r="L30" s="19" t="n">
        <f aca="false">L21-L25-L24</f>
        <v>7.00767410734546</v>
      </c>
      <c r="M30" s="19" t="n">
        <f aca="false">M21-M25-M24</f>
        <v>6.37427924654546</v>
      </c>
      <c r="N30" s="19" t="n">
        <f aca="false">N21-N25-N24</f>
        <v>4.74162847681698</v>
      </c>
      <c r="O30" s="19" t="n">
        <f aca="false">O21-O25-O24</f>
        <v>3.6952133598942</v>
      </c>
      <c r="P30" s="19" t="n">
        <f aca="false">P21-P25-P24</f>
        <v>2.67059855790732</v>
      </c>
      <c r="Q30" s="19" t="n">
        <f aca="false">Q21-Q25-Q24</f>
        <v>1.66732989762849</v>
      </c>
      <c r="R30" s="19" t="n">
        <f aca="false">R21-R25-R24</f>
        <v>0.684962667772147</v>
      </c>
      <c r="S30" s="19" t="n">
        <f aca="false">S21-S25-S24</f>
        <v>-0.27693857812887</v>
      </c>
      <c r="T30" s="19" t="n">
        <f aca="false">T21-T25-T24</f>
        <v>-4.29718816510825</v>
      </c>
      <c r="U30" s="19" t="n">
        <f aca="false">U21-U25-U24</f>
        <v>-5.52684085735093</v>
      </c>
      <c r="V30" s="19" t="n">
        <f aca="false">V21-V25-V24</f>
        <v>-6.73087578517186</v>
      </c>
      <c r="W30" s="19" t="n">
        <f aca="false">W21-W25-W24</f>
        <v>-7.90982665199655</v>
      </c>
      <c r="X30" s="19" t="n">
        <f aca="false">X21-X25-X24</f>
        <v>-9.06421604242902</v>
      </c>
      <c r="Y30" s="19" t="n">
        <f aca="false">Y21-Y25-Y24</f>
        <v>-10.1945556538942</v>
      </c>
    </row>
    <row r="31" customFormat="false" ht="15" hidden="false" customHeight="false" outlineLevel="0" collapsed="false">
      <c r="A31" s="17" t="s">
        <v>370</v>
      </c>
      <c r="B31" s="13" t="n">
        <f aca="false">B21-B28</f>
        <v>-414.4</v>
      </c>
      <c r="C31" s="13" t="n">
        <f aca="false">C21-C28</f>
        <v>-414.4</v>
      </c>
      <c r="D31" s="13" t="n">
        <f aca="false">D21-D28</f>
        <v>-414.4</v>
      </c>
      <c r="E31" s="13" t="n">
        <f aca="false">E21-E28</f>
        <v>-414.4</v>
      </c>
      <c r="F31" s="13" t="n">
        <f aca="false">F21-F28</f>
        <v>-414.4</v>
      </c>
      <c r="G31" s="13" t="n">
        <f aca="false">G21-G28</f>
        <v>-1277.92</v>
      </c>
      <c r="H31" s="13" t="n">
        <f aca="false">H21-H28</f>
        <v>-1277.92</v>
      </c>
      <c r="I31" s="13" t="n">
        <f aca="false">I21-I28</f>
        <v>-1277.92</v>
      </c>
      <c r="J31" s="13" t="n">
        <f aca="false">J21-J28</f>
        <v>-1277.92</v>
      </c>
      <c r="K31" s="13" t="n">
        <f aca="false">K21-K28</f>
        <v>-1277.92</v>
      </c>
      <c r="L31" s="13" t="n">
        <f aca="false">L21-L28</f>
        <v>-665.192325892655</v>
      </c>
      <c r="M31" s="13" t="n">
        <f aca="false">M21-M28</f>
        <v>-665.825720753455</v>
      </c>
      <c r="N31" s="13" t="n">
        <f aca="false">N21-N28</f>
        <v>-936.338371523183</v>
      </c>
      <c r="O31" s="13" t="n">
        <f aca="false">O21-O28</f>
        <v>-2097.70478664011</v>
      </c>
      <c r="P31" s="13" t="n">
        <f aca="false">P21-P28</f>
        <v>-2098.72940144209</v>
      </c>
      <c r="Q31" s="13" t="n">
        <f aca="false">Q21-Q28</f>
        <v>-2099.73267010237</v>
      </c>
      <c r="R31" s="13" t="n">
        <f aca="false">R21-R28</f>
        <v>-2100.71503733223</v>
      </c>
      <c r="S31" s="13" t="n">
        <f aca="false">S21-S28</f>
        <v>-2101.67693857813</v>
      </c>
      <c r="T31" s="13" t="n">
        <f aca="false">T21-T28</f>
        <v>-1255.71052149844</v>
      </c>
      <c r="U31" s="13" t="n">
        <f aca="false">U21-U28</f>
        <v>-1256.94017419068</v>
      </c>
      <c r="V31" s="13" t="n">
        <f aca="false">V21-V28</f>
        <v>-1258.14420911851</v>
      </c>
      <c r="W31" s="13" t="n">
        <f aca="false">W21-W28</f>
        <v>-1259.32315998533</v>
      </c>
      <c r="X31" s="13" t="n">
        <f aca="false">X21-X28</f>
        <v>-1260.47754937576</v>
      </c>
      <c r="Y31" s="13" t="n">
        <f aca="false">Y21-Y28</f>
        <v>-1261.60788898723</v>
      </c>
    </row>
    <row r="32" customFormat="false" ht="15" hidden="false" customHeight="false" outlineLevel="0" collapsed="false">
      <c r="A32" s="17" t="s">
        <v>371</v>
      </c>
      <c r="B32" s="13" t="n">
        <f aca="false">B31</f>
        <v>-414.4</v>
      </c>
      <c r="C32" s="13" t="n">
        <f aca="false">B32+C31</f>
        <v>-828.8</v>
      </c>
      <c r="D32" s="13" t="n">
        <f aca="false">C32+D31</f>
        <v>-1243.2</v>
      </c>
      <c r="E32" s="13" t="n">
        <f aca="false">D32+E31</f>
        <v>-1657.6</v>
      </c>
      <c r="F32" s="13" t="n">
        <f aca="false">E32+F31</f>
        <v>-2072</v>
      </c>
      <c r="G32" s="13" t="n">
        <f aca="false">F32+G31</f>
        <v>-3349.92</v>
      </c>
      <c r="H32" s="13" t="n">
        <f aca="false">G32+H31</f>
        <v>-4627.84</v>
      </c>
      <c r="I32" s="13" t="n">
        <f aca="false">H32+I31</f>
        <v>-5905.76</v>
      </c>
      <c r="J32" s="13" t="n">
        <f aca="false">I32+J31</f>
        <v>-7183.68</v>
      </c>
      <c r="K32" s="13" t="n">
        <f aca="false">J32+K31</f>
        <v>-8461.6</v>
      </c>
      <c r="L32" s="13" t="n">
        <f aca="false">K32+L31</f>
        <v>-9126.79232589266</v>
      </c>
      <c r="M32" s="13" t="n">
        <f aca="false">L32+M31</f>
        <v>-9792.61804664611</v>
      </c>
      <c r="N32" s="13" t="n">
        <f aca="false">M32+N31</f>
        <v>-10728.9564181693</v>
      </c>
      <c r="O32" s="13" t="n">
        <f aca="false">N32+O31</f>
        <v>-12826.6612048094</v>
      </c>
      <c r="P32" s="13" t="n">
        <f aca="false">O32+P31</f>
        <v>-14925.3906062515</v>
      </c>
      <c r="Q32" s="13" t="n">
        <f aca="false">P32+Q31</f>
        <v>-17025.1232763539</v>
      </c>
      <c r="R32" s="13" t="n">
        <f aca="false">Q32+R31</f>
        <v>-19125.8383136861</v>
      </c>
      <c r="S32" s="13" t="n">
        <f aca="false">R32+S31</f>
        <v>-21227.5152522642</v>
      </c>
      <c r="T32" s="13" t="n">
        <f aca="false">S32+T31</f>
        <v>-22483.2257737627</v>
      </c>
      <c r="U32" s="13" t="n">
        <f aca="false">T32+U31</f>
        <v>-23740.1659479534</v>
      </c>
      <c r="V32" s="13" t="n">
        <f aca="false">U32+V31</f>
        <v>-24998.3101570719</v>
      </c>
      <c r="W32" s="13" t="n">
        <f aca="false">V32+W31</f>
        <v>-26257.6333170572</v>
      </c>
      <c r="X32" s="13" t="n">
        <f aca="false">W32+X31</f>
        <v>-27518.1108664329</v>
      </c>
      <c r="Y32" s="13" t="n">
        <f aca="false">X32+Y31</f>
        <v>-28779.7187554202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5" min="2" style="0" width="9"/>
  </cols>
  <sheetData>
    <row r="1" customFormat="false" ht="16.15" hidden="false" customHeight="false" outlineLevel="0" collapsed="false">
      <c r="A1" s="1" t="s">
        <v>372</v>
      </c>
    </row>
    <row r="2" customFormat="false" ht="15" hidden="false" customHeight="false" outlineLevel="0" collapsed="false">
      <c r="A2" s="2" t="s">
        <v>320</v>
      </c>
    </row>
    <row r="4" customFormat="false" ht="16.4" hidden="false" customHeight="false" outlineLevel="0" collapsed="false">
      <c r="A4" s="5" t="s">
        <v>106</v>
      </c>
      <c r="B4" s="5" t="s">
        <v>321</v>
      </c>
      <c r="C4" s="5" t="s">
        <v>322</v>
      </c>
      <c r="D4" s="5" t="s">
        <v>323</v>
      </c>
      <c r="E4" s="5" t="s">
        <v>324</v>
      </c>
      <c r="F4" s="5" t="s">
        <v>325</v>
      </c>
      <c r="G4" s="5" t="s">
        <v>326</v>
      </c>
      <c r="H4" s="5" t="s">
        <v>327</v>
      </c>
      <c r="I4" s="5" t="s">
        <v>328</v>
      </c>
      <c r="J4" s="5" t="s">
        <v>329</v>
      </c>
      <c r="K4" s="5" t="s">
        <v>330</v>
      </c>
      <c r="L4" s="5" t="s">
        <v>331</v>
      </c>
      <c r="M4" s="5" t="s">
        <v>332</v>
      </c>
      <c r="N4" s="5" t="s">
        <v>333</v>
      </c>
      <c r="O4" s="5" t="s">
        <v>334</v>
      </c>
      <c r="P4" s="5" t="s">
        <v>335</v>
      </c>
      <c r="Q4" s="5" t="s">
        <v>336</v>
      </c>
      <c r="R4" s="5" t="s">
        <v>337</v>
      </c>
      <c r="S4" s="5" t="s">
        <v>338</v>
      </c>
      <c r="T4" s="5" t="s">
        <v>339</v>
      </c>
      <c r="U4" s="5" t="s">
        <v>340</v>
      </c>
      <c r="V4" s="5" t="s">
        <v>341</v>
      </c>
      <c r="W4" s="5" t="s">
        <v>342</v>
      </c>
      <c r="X4" s="5" t="s">
        <v>343</v>
      </c>
      <c r="Y4" s="5" t="s">
        <v>344</v>
      </c>
    </row>
    <row r="5" customFormat="false" ht="15" hidden="false" customHeight="false" outlineLevel="0" collapsed="false">
      <c r="A5" s="27" t="s">
        <v>345</v>
      </c>
      <c r="B5" s="28"/>
      <c r="C5" s="28"/>
      <c r="D5" s="28"/>
      <c r="E5" s="28"/>
      <c r="F5" s="28"/>
      <c r="G5" s="28"/>
      <c r="H5" s="28"/>
      <c r="I5" s="28"/>
      <c r="J5" s="28"/>
      <c r="K5" s="28"/>
      <c r="L5" s="28"/>
      <c r="M5" s="28"/>
      <c r="N5" s="28"/>
      <c r="O5" s="28"/>
      <c r="P5" s="28"/>
      <c r="Q5" s="28"/>
      <c r="R5" s="28"/>
      <c r="S5" s="28"/>
      <c r="T5" s="28"/>
      <c r="U5" s="28"/>
      <c r="V5" s="28"/>
      <c r="W5" s="28"/>
      <c r="X5" s="28"/>
      <c r="Y5" s="28"/>
    </row>
    <row r="6" customFormat="false" ht="15" hidden="false" customHeight="false" outlineLevel="0" collapsed="false">
      <c r="A6" s="4" t="s">
        <v>346</v>
      </c>
      <c r="B6" s="20" t="n">
        <f aca="false">(1+'مفروضات مشترک'!$B$10)^INT((1-1)/12)</f>
        <v>1</v>
      </c>
      <c r="C6" s="20" t="n">
        <f aca="false">(1+'مفروضات مشترک'!$B$10)^INT((2-1)/12)</f>
        <v>1</v>
      </c>
      <c r="D6" s="20" t="n">
        <f aca="false">(1+'مفروضات مشترک'!$B$10)^INT((3-1)/12)</f>
        <v>1</v>
      </c>
      <c r="E6" s="20" t="n">
        <f aca="false">(1+'مفروضات مشترک'!$B$10)^INT((4-1)/12)</f>
        <v>1</v>
      </c>
      <c r="F6" s="20" t="n">
        <f aca="false">(1+'مفروضات مشترک'!$B$10)^INT((5-1)/12)</f>
        <v>1</v>
      </c>
      <c r="G6" s="20" t="n">
        <f aca="false">(1+'مفروضات مشترک'!$B$10)^INT((6-1)/12)</f>
        <v>1</v>
      </c>
      <c r="H6" s="20" t="n">
        <f aca="false">(1+'مفروضات مشترک'!$B$10)^INT((7-1)/12)</f>
        <v>1</v>
      </c>
      <c r="I6" s="20" t="n">
        <f aca="false">(1+'مفروضات مشترک'!$B$10)^INT((8-1)/12)</f>
        <v>1</v>
      </c>
      <c r="J6" s="20" t="n">
        <f aca="false">(1+'مفروضات مشترک'!$B$10)^INT((9-1)/12)</f>
        <v>1</v>
      </c>
      <c r="K6" s="20" t="n">
        <f aca="false">(1+'مفروضات مشترک'!$B$10)^INT((10-1)/12)</f>
        <v>1</v>
      </c>
      <c r="L6" s="20" t="n">
        <f aca="false">(1+'مفروضات مشترک'!$B$10)^INT((11-1)/12)</f>
        <v>1</v>
      </c>
      <c r="M6" s="20" t="n">
        <f aca="false">(1+'مفروضات مشترک'!$B$10)^INT((12-1)/12)</f>
        <v>1</v>
      </c>
      <c r="N6" s="20" t="n">
        <f aca="false">(1+'مفروضات مشترک'!$B$10)^INT((13-1)/12)</f>
        <v>1.4</v>
      </c>
      <c r="O6" s="20" t="n">
        <f aca="false">(1+'مفروضات مشترک'!$B$10)^INT((14-1)/12)</f>
        <v>1.4</v>
      </c>
      <c r="P6" s="20" t="n">
        <f aca="false">(1+'مفروضات مشترک'!$B$10)^INT((15-1)/12)</f>
        <v>1.4</v>
      </c>
      <c r="Q6" s="20" t="n">
        <f aca="false">(1+'مفروضات مشترک'!$B$10)^INT((16-1)/12)</f>
        <v>1.4</v>
      </c>
      <c r="R6" s="20" t="n">
        <f aca="false">(1+'مفروضات مشترک'!$B$10)^INT((17-1)/12)</f>
        <v>1.4</v>
      </c>
      <c r="S6" s="20" t="n">
        <f aca="false">(1+'مفروضات مشترک'!$B$10)^INT((18-1)/12)</f>
        <v>1.4</v>
      </c>
      <c r="T6" s="20" t="n">
        <f aca="false">(1+'مفروضات مشترک'!$B$10)^INT((19-1)/12)</f>
        <v>1.4</v>
      </c>
      <c r="U6" s="20" t="n">
        <f aca="false">(1+'مفروضات مشترک'!$B$10)^INT((20-1)/12)</f>
        <v>1.4</v>
      </c>
      <c r="V6" s="20" t="n">
        <f aca="false">(1+'مفروضات مشترک'!$B$10)^INT((21-1)/12)</f>
        <v>1.4</v>
      </c>
      <c r="W6" s="20" t="n">
        <f aca="false">(1+'مفروضات مشترک'!$B$10)^INT((22-1)/12)</f>
        <v>1.4</v>
      </c>
      <c r="X6" s="20" t="n">
        <f aca="false">(1+'مفروضات مشترک'!$B$10)^INT((23-1)/12)</f>
        <v>1.4</v>
      </c>
      <c r="Y6" s="20" t="n">
        <f aca="false">(1+'مفروضات مشترک'!$B$10)^INT((24-1)/12)</f>
        <v>1.4</v>
      </c>
    </row>
    <row r="7" customFormat="false" ht="15" hidden="false" customHeight="false" outlineLevel="0" collapsed="false">
      <c r="A7" s="4" t="s">
        <v>347</v>
      </c>
      <c r="B7" s="20" t="n">
        <f aca="false">(1+سناریوها!$D$10)^INT((1-1)/12)</f>
        <v>1</v>
      </c>
      <c r="C7" s="20" t="n">
        <f aca="false">(1+سناریوها!$D$10)^INT((2-1)/12)</f>
        <v>1</v>
      </c>
      <c r="D7" s="20" t="n">
        <f aca="false">(1+سناریوها!$D$10)^INT((3-1)/12)</f>
        <v>1</v>
      </c>
      <c r="E7" s="20" t="n">
        <f aca="false">(1+سناریوها!$D$10)^INT((4-1)/12)</f>
        <v>1</v>
      </c>
      <c r="F7" s="20" t="n">
        <f aca="false">(1+سناریوها!$D$10)^INT((5-1)/12)</f>
        <v>1</v>
      </c>
      <c r="G7" s="20" t="n">
        <f aca="false">(1+سناریوها!$D$10)^INT((6-1)/12)</f>
        <v>1</v>
      </c>
      <c r="H7" s="20" t="n">
        <f aca="false">(1+سناریوها!$D$10)^INT((7-1)/12)</f>
        <v>1</v>
      </c>
      <c r="I7" s="20" t="n">
        <f aca="false">(1+سناریوها!$D$10)^INT((8-1)/12)</f>
        <v>1</v>
      </c>
      <c r="J7" s="20" t="n">
        <f aca="false">(1+سناریوها!$D$10)^INT((9-1)/12)</f>
        <v>1</v>
      </c>
      <c r="K7" s="20" t="n">
        <f aca="false">(1+سناریوها!$D$10)^INT((10-1)/12)</f>
        <v>1</v>
      </c>
      <c r="L7" s="20" t="n">
        <f aca="false">(1+سناریوها!$D$10)^INT((11-1)/12)</f>
        <v>1</v>
      </c>
      <c r="M7" s="20" t="n">
        <f aca="false">(1+سناریوها!$D$10)^INT((12-1)/12)</f>
        <v>1</v>
      </c>
      <c r="N7" s="20" t="n">
        <f aca="false">(1+سناریوها!$D$10)^INT((13-1)/12)</f>
        <v>1.325</v>
      </c>
      <c r="O7" s="20" t="n">
        <f aca="false">(1+سناریوها!$D$10)^INT((14-1)/12)</f>
        <v>1.325</v>
      </c>
      <c r="P7" s="20" t="n">
        <f aca="false">(1+سناریوها!$D$10)^INT((15-1)/12)</f>
        <v>1.325</v>
      </c>
      <c r="Q7" s="20" t="n">
        <f aca="false">(1+سناریوها!$D$10)^INT((16-1)/12)</f>
        <v>1.325</v>
      </c>
      <c r="R7" s="20" t="n">
        <f aca="false">(1+سناریوها!$D$10)^INT((17-1)/12)</f>
        <v>1.325</v>
      </c>
      <c r="S7" s="20" t="n">
        <f aca="false">(1+سناریوها!$D$10)^INT((18-1)/12)</f>
        <v>1.325</v>
      </c>
      <c r="T7" s="20" t="n">
        <f aca="false">(1+سناریوها!$D$10)^INT((19-1)/12)</f>
        <v>1.325</v>
      </c>
      <c r="U7" s="20" t="n">
        <f aca="false">(1+سناریوها!$D$10)^INT((20-1)/12)</f>
        <v>1.325</v>
      </c>
      <c r="V7" s="20" t="n">
        <f aca="false">(1+سناریوها!$D$10)^INT((21-1)/12)</f>
        <v>1.325</v>
      </c>
      <c r="W7" s="20" t="n">
        <f aca="false">(1+سناریوها!$D$10)^INT((22-1)/12)</f>
        <v>1.325</v>
      </c>
      <c r="X7" s="20" t="n">
        <f aca="false">(1+سناریوها!$D$10)^INT((23-1)/12)</f>
        <v>1.325</v>
      </c>
      <c r="Y7" s="20" t="n">
        <f aca="false">(1+سناریوها!$D$10)^INT((24-1)/12)</f>
        <v>1.325</v>
      </c>
    </row>
    <row r="8" customFormat="false" ht="15" hidden="false" customHeight="false" outlineLevel="0" collapsed="false">
      <c r="A8" s="4" t="s">
        <v>348</v>
      </c>
      <c r="B8" s="20" t="n">
        <f aca="false">IF(1&gt;='مفروضات مشترک'!$B$18,'مفروضات مشترک'!$B$15,IF(1&gt;='مفروضات مشترک'!$B$17,'مفروضات مشترک'!$B$14,IF(1&gt;='مفروضات مشترک'!$B$16,'مفروضات مشترک'!$B$13,0)))</f>
        <v>0</v>
      </c>
      <c r="C8" s="20" t="n">
        <f aca="false">IF(2&gt;='مفروضات مشترک'!$B$18,'مفروضات مشترک'!$B$15,IF(2&gt;='مفروضات مشترک'!$B$17,'مفروضات مشترک'!$B$14,IF(2&gt;='مفروضات مشترک'!$B$16,'مفروضات مشترک'!$B$13,0)))</f>
        <v>0</v>
      </c>
      <c r="D8" s="20" t="n">
        <f aca="false">IF(3&gt;='مفروضات مشترک'!$B$18,'مفروضات مشترک'!$B$15,IF(3&gt;='مفروضات مشترک'!$B$17,'مفروضات مشترک'!$B$14,IF(3&gt;='مفروضات مشترک'!$B$16,'مفروضات مشترک'!$B$13,0)))</f>
        <v>0</v>
      </c>
      <c r="E8" s="20" t="n">
        <f aca="false">IF(4&gt;='مفروضات مشترک'!$B$18,'مفروضات مشترک'!$B$15,IF(4&gt;='مفروضات مشترک'!$B$17,'مفروضات مشترک'!$B$14,IF(4&gt;='مفروضات مشترک'!$B$16,'مفروضات مشترک'!$B$13,0)))</f>
        <v>0</v>
      </c>
      <c r="F8" s="20" t="n">
        <f aca="false">IF(5&gt;='مفروضات مشترک'!$B$18,'مفروضات مشترک'!$B$15,IF(5&gt;='مفروضات مشترک'!$B$17,'مفروضات مشترک'!$B$14,IF(5&gt;='مفروضات مشترک'!$B$16,'مفروضات مشترک'!$B$13,0)))</f>
        <v>0</v>
      </c>
      <c r="G8" s="20" t="n">
        <f aca="false">IF(6&gt;='مفروضات مشترک'!$B$18,'مفروضات مشترک'!$B$15,IF(6&gt;='مفروضات مشترک'!$B$17,'مفروضات مشترک'!$B$14,IF(6&gt;='مفروضات مشترک'!$B$16,'مفروضات مشترک'!$B$13,0)))</f>
        <v>0.3</v>
      </c>
      <c r="H8" s="20" t="n">
        <f aca="false">IF(7&gt;='مفروضات مشترک'!$B$18,'مفروضات مشترک'!$B$15,IF(7&gt;='مفروضات مشترک'!$B$17,'مفروضات مشترک'!$B$14,IF(7&gt;='مفروضات مشترک'!$B$16,'مفروضات مشترک'!$B$13,0)))</f>
        <v>0.3</v>
      </c>
      <c r="I8" s="20" t="n">
        <f aca="false">IF(8&gt;='مفروضات مشترک'!$B$18,'مفروضات مشترک'!$B$15,IF(8&gt;='مفروضات مشترک'!$B$17,'مفروضات مشترک'!$B$14,IF(8&gt;='مفروضات مشترک'!$B$16,'مفروضات مشترک'!$B$13,0)))</f>
        <v>0.3</v>
      </c>
      <c r="J8" s="20" t="n">
        <f aca="false">IF(9&gt;='مفروضات مشترک'!$B$18,'مفروضات مشترک'!$B$15,IF(9&gt;='مفروضات مشترک'!$B$17,'مفروضات مشترک'!$B$14,IF(9&gt;='مفروضات مشترک'!$B$16,'مفروضات مشترک'!$B$13,0)))</f>
        <v>0.3</v>
      </c>
      <c r="K8" s="20" t="n">
        <f aca="false">IF(10&gt;='مفروضات مشترک'!$B$18,'مفروضات مشترک'!$B$15,IF(10&gt;='مفروضات مشترک'!$B$17,'مفروضات مشترک'!$B$14,IF(10&gt;='مفروضات مشترک'!$B$16,'مفروضات مشترک'!$B$13,0)))</f>
        <v>0.3</v>
      </c>
      <c r="L8" s="20" t="n">
        <f aca="false">IF(11&gt;='مفروضات مشترک'!$B$18,'مفروضات مشترک'!$B$15,IF(11&gt;='مفروضات مشترک'!$B$17,'مفروضات مشترک'!$B$14,IF(11&gt;='مفروضات مشترک'!$B$16,'مفروضات مشترک'!$B$13,0)))</f>
        <v>0.75</v>
      </c>
      <c r="M8" s="20" t="n">
        <f aca="false">IF(12&gt;='مفروضات مشترک'!$B$18,'مفروضات مشترک'!$B$15,IF(12&gt;='مفروضات مشترک'!$B$17,'مفروضات مشترک'!$B$14,IF(12&gt;='مفروضات مشترک'!$B$16,'مفروضات مشترک'!$B$13,0)))</f>
        <v>0.75</v>
      </c>
      <c r="N8" s="20" t="n">
        <f aca="false">IF(13&gt;='مفروضات مشترک'!$B$18,'مفروضات مشترک'!$B$15,IF(13&gt;='مفروضات مشترک'!$B$17,'مفروضات مشترک'!$B$14,IF(13&gt;='مفروضات مشترک'!$B$16,'مفروضات مشترک'!$B$13,0)))</f>
        <v>0.75</v>
      </c>
      <c r="O8" s="20" t="n">
        <f aca="false">IF(14&gt;='مفروضات مشترک'!$B$18,'مفروضات مشترک'!$B$15,IF(14&gt;='مفروضات مشترک'!$B$17,'مفروضات مشترک'!$B$14,IF(14&gt;='مفروضات مشترک'!$B$16,'مفروضات مشترک'!$B$13,0)))</f>
        <v>0.75</v>
      </c>
      <c r="P8" s="20" t="n">
        <f aca="false">IF(15&gt;='مفروضات مشترک'!$B$18,'مفروضات مشترک'!$B$15,IF(15&gt;='مفروضات مشترک'!$B$17,'مفروضات مشترک'!$B$14,IF(15&gt;='مفروضات مشترک'!$B$16,'مفروضات مشترک'!$B$13,0)))</f>
        <v>0.75</v>
      </c>
      <c r="Q8" s="20" t="n">
        <f aca="false">IF(16&gt;='مفروضات مشترک'!$B$18,'مفروضات مشترک'!$B$15,IF(16&gt;='مفروضات مشترک'!$B$17,'مفروضات مشترک'!$B$14,IF(16&gt;='مفروضات مشترک'!$B$16,'مفروضات مشترک'!$B$13,0)))</f>
        <v>0.75</v>
      </c>
      <c r="R8" s="20" t="n">
        <f aca="false">IF(17&gt;='مفروضات مشترک'!$B$18,'مفروضات مشترک'!$B$15,IF(17&gt;='مفروضات مشترک'!$B$17,'مفروضات مشترک'!$B$14,IF(17&gt;='مفروضات مشترک'!$B$16,'مفروضات مشترک'!$B$13,0)))</f>
        <v>0.75</v>
      </c>
      <c r="S8" s="20" t="n">
        <f aca="false">IF(18&gt;='مفروضات مشترک'!$B$18,'مفروضات مشترک'!$B$15,IF(18&gt;='مفروضات مشترک'!$B$17,'مفروضات مشترک'!$B$14,IF(18&gt;='مفروضات مشترک'!$B$16,'مفروضات مشترک'!$B$13,0)))</f>
        <v>0.75</v>
      </c>
      <c r="T8" s="20" t="n">
        <f aca="false">IF(19&gt;='مفروضات مشترک'!$B$18,'مفروضات مشترک'!$B$15,IF(19&gt;='مفروضات مشترک'!$B$17,'مفروضات مشترک'!$B$14,IF(19&gt;='مفروضات مشترک'!$B$16,'مفروضات مشترک'!$B$13,0)))</f>
        <v>1</v>
      </c>
      <c r="U8" s="20" t="n">
        <f aca="false">IF(20&gt;='مفروضات مشترک'!$B$18,'مفروضات مشترک'!$B$15,IF(20&gt;='مفروضات مشترک'!$B$17,'مفروضات مشترک'!$B$14,IF(20&gt;='مفروضات مشترک'!$B$16,'مفروضات مشترک'!$B$13,0)))</f>
        <v>1</v>
      </c>
      <c r="V8" s="20" t="n">
        <f aca="false">IF(21&gt;='مفروضات مشترک'!$B$18,'مفروضات مشترک'!$B$15,IF(21&gt;='مفروضات مشترک'!$B$17,'مفروضات مشترک'!$B$14,IF(21&gt;='مفروضات مشترک'!$B$16,'مفروضات مشترک'!$B$13,0)))</f>
        <v>1</v>
      </c>
      <c r="W8" s="20" t="n">
        <f aca="false">IF(22&gt;='مفروضات مشترک'!$B$18,'مفروضات مشترک'!$B$15,IF(22&gt;='مفروضات مشترک'!$B$17,'مفروضات مشترک'!$B$14,IF(22&gt;='مفروضات مشترک'!$B$16,'مفروضات مشترک'!$B$13,0)))</f>
        <v>1</v>
      </c>
      <c r="X8" s="20" t="n">
        <f aca="false">IF(23&gt;='مفروضات مشترک'!$B$18,'مفروضات مشترک'!$B$15,IF(23&gt;='مفروضات مشترک'!$B$17,'مفروضات مشترک'!$B$14,IF(23&gt;='مفروضات مشترک'!$B$16,'مفروضات مشترک'!$B$13,0)))</f>
        <v>1</v>
      </c>
      <c r="Y8" s="20" t="n">
        <f aca="false">IF(24&gt;='مفروضات مشترک'!$B$18,'مفروضات مشترک'!$B$15,IF(24&gt;='مفروضات مشترک'!$B$17,'مفروضات مشترک'!$B$14,IF(24&gt;='مفروضات مشترک'!$B$16,'مفروضات مشترک'!$B$13,0)))</f>
        <v>1</v>
      </c>
    </row>
    <row r="9" customFormat="false" ht="15" hidden="false" customHeight="false" outlineLevel="0" collapsed="false">
      <c r="A9" s="27" t="s">
        <v>349</v>
      </c>
      <c r="B9" s="28"/>
      <c r="C9" s="28"/>
      <c r="D9" s="28"/>
      <c r="E9" s="28"/>
      <c r="F9" s="28"/>
      <c r="G9" s="28"/>
      <c r="H9" s="28"/>
      <c r="I9" s="28"/>
      <c r="J9" s="28"/>
      <c r="K9" s="28"/>
      <c r="L9" s="28"/>
      <c r="M9" s="28"/>
      <c r="N9" s="28"/>
      <c r="O9" s="28"/>
      <c r="P9" s="28"/>
      <c r="Q9" s="28"/>
      <c r="R9" s="28"/>
      <c r="S9" s="28"/>
      <c r="T9" s="28"/>
      <c r="U9" s="28"/>
      <c r="V9" s="28"/>
      <c r="W9" s="28"/>
      <c r="X9" s="28"/>
      <c r="Y9" s="28"/>
    </row>
    <row r="10" customFormat="false" ht="15" hidden="false" customHeight="false" outlineLevel="0" collapsed="false">
      <c r="A10" s="4" t="s">
        <v>350</v>
      </c>
      <c r="B10" s="20" t="n">
        <f aca="false">IF(1&gt;='مفروضات مشترک'!$B$24,سناریوها!$D$12,0)</f>
        <v>0</v>
      </c>
      <c r="C10" s="20" t="n">
        <f aca="false">IF(2&gt;='مفروضات مشترک'!$B$24,سناریوها!$D$12,0)</f>
        <v>0</v>
      </c>
      <c r="D10" s="20" t="n">
        <f aca="false">IF(3&gt;='مفروضات مشترک'!$B$24,سناریوها!$D$12,0)</f>
        <v>0</v>
      </c>
      <c r="E10" s="20" t="n">
        <f aca="false">IF(4&gt;='مفروضات مشترک'!$B$24,سناریوها!$D$12,0)</f>
        <v>0</v>
      </c>
      <c r="F10" s="20" t="n">
        <f aca="false">IF(5&gt;='مفروضات مشترک'!$B$24,سناریوها!$D$12,0)</f>
        <v>0</v>
      </c>
      <c r="G10" s="20" t="n">
        <f aca="false">IF(6&gt;='مفروضات مشترک'!$B$24,سناریوها!$D$12,0)</f>
        <v>4</v>
      </c>
      <c r="H10" s="20" t="n">
        <f aca="false">IF(7&gt;='مفروضات مشترک'!$B$24,سناریوها!$D$12,0)</f>
        <v>4</v>
      </c>
      <c r="I10" s="20" t="n">
        <f aca="false">IF(8&gt;='مفروضات مشترک'!$B$24,سناریوها!$D$12,0)</f>
        <v>4</v>
      </c>
      <c r="J10" s="20" t="n">
        <f aca="false">IF(9&gt;='مفروضات مشترک'!$B$24,سناریوها!$D$12,0)</f>
        <v>4</v>
      </c>
      <c r="K10" s="20" t="n">
        <f aca="false">IF(10&gt;='مفروضات مشترک'!$B$24,سناریوها!$D$12,0)</f>
        <v>4</v>
      </c>
      <c r="L10" s="20" t="n">
        <f aca="false">IF(11&gt;='مفروضات مشترک'!$B$24,سناریوها!$D$12,0)</f>
        <v>4</v>
      </c>
      <c r="M10" s="20" t="n">
        <f aca="false">IF(12&gt;='مفروضات مشترک'!$B$24,سناریوها!$D$12,0)</f>
        <v>4</v>
      </c>
      <c r="N10" s="20" t="n">
        <f aca="false">IF(13&gt;='مفروضات مشترک'!$B$24,سناریوها!$D$12,0)</f>
        <v>4</v>
      </c>
      <c r="O10" s="20" t="n">
        <f aca="false">IF(14&gt;='مفروضات مشترک'!$B$24,سناریوها!$D$12,0)</f>
        <v>4</v>
      </c>
      <c r="P10" s="20" t="n">
        <f aca="false">IF(15&gt;='مفروضات مشترک'!$B$24,سناریوها!$D$12,0)</f>
        <v>4</v>
      </c>
      <c r="Q10" s="20" t="n">
        <f aca="false">IF(16&gt;='مفروضات مشترک'!$B$24,سناریوها!$D$12,0)</f>
        <v>4</v>
      </c>
      <c r="R10" s="20" t="n">
        <f aca="false">IF(17&gt;='مفروضات مشترک'!$B$24,سناریوها!$D$12,0)</f>
        <v>4</v>
      </c>
      <c r="S10" s="20" t="n">
        <f aca="false">IF(18&gt;='مفروضات مشترک'!$B$24,سناریوها!$D$12,0)</f>
        <v>4</v>
      </c>
      <c r="T10" s="20" t="n">
        <f aca="false">IF(19&gt;='مفروضات مشترک'!$B$24,سناریوها!$D$12,0)</f>
        <v>4</v>
      </c>
      <c r="U10" s="20" t="n">
        <f aca="false">IF(20&gt;='مفروضات مشترک'!$B$24,سناریوها!$D$12,0)</f>
        <v>4</v>
      </c>
      <c r="V10" s="20" t="n">
        <f aca="false">IF(21&gt;='مفروضات مشترک'!$B$24,سناریوها!$D$12,0)</f>
        <v>4</v>
      </c>
      <c r="W10" s="20" t="n">
        <f aca="false">IF(22&gt;='مفروضات مشترک'!$B$24,سناریوها!$D$12,0)</f>
        <v>4</v>
      </c>
      <c r="X10" s="20" t="n">
        <f aca="false">IF(23&gt;='مفروضات مشترک'!$B$24,سناریوها!$D$12,0)</f>
        <v>4</v>
      </c>
      <c r="Y10" s="20" t="n">
        <f aca="false">IF(24&gt;='مفروضات مشترک'!$B$24,سناریوها!$D$12,0)</f>
        <v>4</v>
      </c>
    </row>
    <row r="11" customFormat="false" ht="15" hidden="false" customHeight="false" outlineLevel="0" collapsed="false">
      <c r="A11" s="4" t="s">
        <v>351</v>
      </c>
      <c r="B11" s="20" t="n">
        <f aca="false">B10*سناریوها!$D$13</f>
        <v>0</v>
      </c>
      <c r="C11" s="20" t="n">
        <f aca="false">C10*سناریوها!$D$13</f>
        <v>0</v>
      </c>
      <c r="D11" s="20" t="n">
        <f aca="false">D10*سناریوها!$D$13</f>
        <v>0</v>
      </c>
      <c r="E11" s="20" t="n">
        <f aca="false">E10*سناریوها!$D$13</f>
        <v>0</v>
      </c>
      <c r="F11" s="20" t="n">
        <f aca="false">F10*سناریوها!$D$13</f>
        <v>0</v>
      </c>
      <c r="G11" s="20" t="n">
        <f aca="false">G10*سناریوها!$D$13</f>
        <v>2</v>
      </c>
      <c r="H11" s="20" t="n">
        <f aca="false">H10*سناریوها!$D$13</f>
        <v>2</v>
      </c>
      <c r="I11" s="20" t="n">
        <f aca="false">I10*سناریوها!$D$13</f>
        <v>2</v>
      </c>
      <c r="J11" s="20" t="n">
        <f aca="false">J10*سناریوها!$D$13</f>
        <v>2</v>
      </c>
      <c r="K11" s="20" t="n">
        <f aca="false">K10*سناریوها!$D$13</f>
        <v>2</v>
      </c>
      <c r="L11" s="20" t="n">
        <f aca="false">L10*سناریوها!$D$13</f>
        <v>2</v>
      </c>
      <c r="M11" s="20" t="n">
        <f aca="false">M10*سناریوها!$D$13</f>
        <v>2</v>
      </c>
      <c r="N11" s="20" t="n">
        <f aca="false">N10*سناریوها!$D$13</f>
        <v>2</v>
      </c>
      <c r="O11" s="20" t="n">
        <f aca="false">O10*سناریوها!$D$13</f>
        <v>2</v>
      </c>
      <c r="P11" s="20" t="n">
        <f aca="false">P10*سناریوها!$D$13</f>
        <v>2</v>
      </c>
      <c r="Q11" s="20" t="n">
        <f aca="false">Q10*سناریوها!$D$13</f>
        <v>2</v>
      </c>
      <c r="R11" s="20" t="n">
        <f aca="false">R10*سناریوها!$D$13</f>
        <v>2</v>
      </c>
      <c r="S11" s="20" t="n">
        <f aca="false">S10*سناریوها!$D$13</f>
        <v>2</v>
      </c>
      <c r="T11" s="20" t="n">
        <f aca="false">T10*سناریوها!$D$13</f>
        <v>2</v>
      </c>
      <c r="U11" s="20" t="n">
        <f aca="false">U10*سناریوها!$D$13</f>
        <v>2</v>
      </c>
      <c r="V11" s="20" t="n">
        <f aca="false">V10*سناریوها!$D$13</f>
        <v>2</v>
      </c>
      <c r="W11" s="20" t="n">
        <f aca="false">W10*سناریوها!$D$13</f>
        <v>2</v>
      </c>
      <c r="X11" s="20" t="n">
        <f aca="false">X10*سناریوها!$D$13</f>
        <v>2</v>
      </c>
      <c r="Y11" s="20" t="n">
        <f aca="false">Y10*سناریوها!$D$13</f>
        <v>2</v>
      </c>
    </row>
    <row r="12" customFormat="false" ht="16.4" hidden="false" customHeight="false" outlineLevel="0" collapsed="false">
      <c r="A12" s="4" t="s">
        <v>352</v>
      </c>
      <c r="B12" s="20" t="n">
        <f aca="false">IF(1-سناریوها!$D$15&lt;1,0,INDEX($B$11:$Y$11,1,MAX(1,ROUND(1-سناریوها!$D$15,0)))*سناریوها!$D$14)</f>
        <v>0</v>
      </c>
      <c r="C12" s="20" t="n">
        <f aca="false">IF(2-سناریوها!$D$15&lt;1,0,INDEX($B$11:$Y$11,1,MAX(1,ROUND(2-سناریوها!$D$15,0)))*سناریوها!$D$14)</f>
        <v>0</v>
      </c>
      <c r="D12" s="20" t="n">
        <f aca="false">IF(3-سناریوها!$D$15&lt;1,0,INDEX($B$11:$Y$11,1,MAX(1,ROUND(3-سناریوها!$D$15,0)))*سناریوها!$D$14)</f>
        <v>0</v>
      </c>
      <c r="E12" s="20" t="n">
        <f aca="false">IF(4-سناریوها!$D$15&lt;1,0,INDEX($B$11:$Y$11,1,MAX(1,ROUND(4-سناریوها!$D$15,0)))*سناریوها!$D$14)</f>
        <v>0</v>
      </c>
      <c r="F12" s="20" t="n">
        <f aca="false">IF(5-سناریوها!$D$15&lt;1,0,INDEX($B$11:$Y$11,1,MAX(1,ROUND(5-سناریوها!$D$15,0)))*سناریوها!$D$14)</f>
        <v>0</v>
      </c>
      <c r="G12" s="20" t="n">
        <f aca="false">IF(6-سناریوها!$D$15&lt;1,0,INDEX($B$11:$Y$11,1,MAX(1,ROUND(6-سناریوها!$D$15,0)))*سناریوها!$D$14)</f>
        <v>0</v>
      </c>
      <c r="H12" s="20" t="n">
        <f aca="false">IF(7-سناریوها!$D$15&lt;1,0,INDEX($B$11:$Y$11,1,MAX(1,ROUND(7-سناریوها!$D$15,0)))*سناریوها!$D$14)</f>
        <v>0</v>
      </c>
      <c r="I12" s="20" t="n">
        <f aca="false">IF(8-سناریوها!$D$15&lt;1,0,INDEX($B$11:$Y$11,1,MAX(1,ROUND(8-سناریوها!$D$15,0)))*سناریوها!$D$14)</f>
        <v>0</v>
      </c>
      <c r="J12" s="20" t="n">
        <f aca="false">IF(9-سناریوها!$D$15&lt;1,0,INDEX($B$11:$Y$11,1,MAX(1,ROUND(9-سناریوها!$D$15,0)))*سناریوها!$D$14)</f>
        <v>0.5</v>
      </c>
      <c r="K12" s="20" t="n">
        <f aca="false">IF(10-سناریوها!$D$15&lt;1,0,INDEX($B$11:$Y$11,1,MAX(1,ROUND(10-سناریوها!$D$15,0)))*سناریوها!$D$14)</f>
        <v>0.5</v>
      </c>
      <c r="L12" s="20" t="n">
        <f aca="false">IF(11-سناریوها!$D$15&lt;1,0,INDEX($B$11:$Y$11,1,MAX(1,ROUND(11-سناریوها!$D$15,0)))*سناریوها!$D$14)</f>
        <v>0.5</v>
      </c>
      <c r="M12" s="20" t="n">
        <f aca="false">IF(12-سناریوها!$D$15&lt;1,0,INDEX($B$11:$Y$11,1,MAX(1,ROUND(12-سناریوها!$D$15,0)))*سناریوها!$D$14)</f>
        <v>0.5</v>
      </c>
      <c r="N12" s="20" t="n">
        <f aca="false">IF(13-سناریوها!$D$15&lt;1,0,INDEX($B$11:$Y$11,1,MAX(1,ROUND(13-سناریوها!$D$15,0)))*سناریوها!$D$14)</f>
        <v>0.5</v>
      </c>
      <c r="O12" s="20" t="n">
        <f aca="false">IF(14-سناریوها!$D$15&lt;1,0,INDEX($B$11:$Y$11,1,MAX(1,ROUND(14-سناریوها!$D$15,0)))*سناریوها!$D$14)</f>
        <v>0.5</v>
      </c>
      <c r="P12" s="20" t="n">
        <f aca="false">IF(15-سناریوها!$D$15&lt;1,0,INDEX($B$11:$Y$11,1,MAX(1,ROUND(15-سناریوها!$D$15,0)))*سناریوها!$D$14)</f>
        <v>0.5</v>
      </c>
      <c r="Q12" s="20" t="n">
        <f aca="false">IF(16-سناریوها!$D$15&lt;1,0,INDEX($B$11:$Y$11,1,MAX(1,ROUND(16-سناریوها!$D$15,0)))*سناریوها!$D$14)</f>
        <v>0.5</v>
      </c>
      <c r="R12" s="20" t="n">
        <f aca="false">IF(17-سناریوها!$D$15&lt;1,0,INDEX($B$11:$Y$11,1,MAX(1,ROUND(17-سناریوها!$D$15,0)))*سناریوها!$D$14)</f>
        <v>0.5</v>
      </c>
      <c r="S12" s="20" t="n">
        <f aca="false">IF(18-سناریوها!$D$15&lt;1,0,INDEX($B$11:$Y$11,1,MAX(1,ROUND(18-سناریوها!$D$15,0)))*سناریوها!$D$14)</f>
        <v>0.5</v>
      </c>
      <c r="T12" s="20" t="n">
        <f aca="false">IF(19-سناریوها!$D$15&lt;1,0,INDEX($B$11:$Y$11,1,MAX(1,ROUND(19-سناریوها!$D$15,0)))*سناریوها!$D$14)</f>
        <v>0.5</v>
      </c>
      <c r="U12" s="20" t="n">
        <f aca="false">IF(20-سناریوها!$D$15&lt;1,0,INDEX($B$11:$Y$11,1,MAX(1,ROUND(20-سناریوها!$D$15,0)))*سناریوها!$D$14)</f>
        <v>0.5</v>
      </c>
      <c r="V12" s="20" t="n">
        <f aca="false">IF(21-سناریوها!$D$15&lt;1,0,INDEX($B$11:$Y$11,1,MAX(1,ROUND(21-سناریوها!$D$15,0)))*سناریوها!$D$14)</f>
        <v>0.5</v>
      </c>
      <c r="W12" s="20" t="n">
        <f aca="false">IF(22-سناریوها!$D$15&lt;1,0,INDEX($B$11:$Y$11,1,MAX(1,ROUND(22-سناریوها!$D$15,0)))*سناریوها!$D$14)</f>
        <v>0.5</v>
      </c>
      <c r="X12" s="20" t="n">
        <f aca="false">IF(23-سناریوها!$D$15&lt;1,0,INDEX($B$11:$Y$11,1,MAX(1,ROUND(23-سناریوها!$D$15,0)))*سناریوها!$D$14)</f>
        <v>0.5</v>
      </c>
      <c r="Y12" s="20" t="n">
        <f aca="false">IF(24-سناریوها!$D$15&lt;1,0,INDEX($B$11:$Y$11,1,MAX(1,ROUND(24-سناریوها!$D$15,0)))*سناریوها!$D$14)</f>
        <v>0.5</v>
      </c>
    </row>
    <row r="13" customFormat="false" ht="15" hidden="false" customHeight="false" outlineLevel="0" collapsed="false">
      <c r="A13" s="27" t="s">
        <v>353</v>
      </c>
      <c r="B13" s="28"/>
      <c r="C13" s="28"/>
      <c r="D13" s="28"/>
      <c r="E13" s="28"/>
      <c r="F13" s="28"/>
      <c r="G13" s="28"/>
      <c r="H13" s="28"/>
      <c r="I13" s="28"/>
      <c r="J13" s="28"/>
      <c r="K13" s="28"/>
      <c r="L13" s="28"/>
      <c r="M13" s="28"/>
      <c r="N13" s="28"/>
      <c r="O13" s="28"/>
      <c r="P13" s="28"/>
      <c r="Q13" s="28"/>
      <c r="R13" s="28"/>
      <c r="S13" s="28"/>
      <c r="T13" s="28"/>
      <c r="U13" s="28"/>
      <c r="V13" s="28"/>
      <c r="W13" s="28"/>
      <c r="X13" s="28"/>
      <c r="Y13" s="28"/>
    </row>
    <row r="14" customFormat="false" ht="15" hidden="false" customHeight="false" outlineLevel="0" collapsed="false">
      <c r="A14" s="4" t="s">
        <v>354</v>
      </c>
      <c r="B14" s="20" t="n">
        <f aca="false">'مفروضات مشترک'!$B$27/'مفروضات مشترک'!$B$28</f>
        <v>2</v>
      </c>
      <c r="C14" s="20" t="n">
        <f aca="false">'مفروضات مشترک'!$B$27/'مفروضات مشترک'!$B$28</f>
        <v>2</v>
      </c>
      <c r="D14" s="20" t="n">
        <f aca="false">'مفروضات مشترک'!$B$27/'مفروضات مشترک'!$B$28</f>
        <v>2</v>
      </c>
      <c r="E14" s="20" t="n">
        <f aca="false">'مفروضات مشترک'!$B$27/'مفروضات مشترک'!$B$28</f>
        <v>2</v>
      </c>
      <c r="F14" s="20" t="n">
        <f aca="false">'مفروضات مشترک'!$B$27/'مفروضات مشترک'!$B$28</f>
        <v>2</v>
      </c>
      <c r="G14" s="20" t="n">
        <f aca="false">'مفروضات مشترک'!$B$27/'مفروضات مشترک'!$B$28</f>
        <v>2</v>
      </c>
      <c r="H14" s="20" t="n">
        <f aca="false">'مفروضات مشترک'!$B$27/'مفروضات مشترک'!$B$28</f>
        <v>2</v>
      </c>
      <c r="I14" s="20" t="n">
        <f aca="false">'مفروضات مشترک'!$B$27/'مفروضات مشترک'!$B$28</f>
        <v>2</v>
      </c>
      <c r="J14" s="20" t="n">
        <f aca="false">'مفروضات مشترک'!$B$27/'مفروضات مشترک'!$B$28</f>
        <v>2</v>
      </c>
      <c r="K14" s="20" t="n">
        <f aca="false">'مفروضات مشترک'!$B$27/'مفروضات مشترک'!$B$28</f>
        <v>2</v>
      </c>
      <c r="L14" s="20" t="n">
        <f aca="false">'مفروضات مشترک'!$B$27/'مفروضات مشترک'!$B$28</f>
        <v>2</v>
      </c>
      <c r="M14" s="20" t="n">
        <f aca="false">'مفروضات مشترک'!$B$27/'مفروضات مشترک'!$B$28</f>
        <v>2</v>
      </c>
      <c r="N14" s="20" t="n">
        <f aca="false">'مفروضات مشترک'!$B$27/'مفروضات مشترک'!$B$28</f>
        <v>2</v>
      </c>
      <c r="O14" s="20" t="n">
        <f aca="false">'مفروضات مشترک'!$B$27/'مفروضات مشترک'!$B$28</f>
        <v>2</v>
      </c>
      <c r="P14" s="20" t="n">
        <f aca="false">'مفروضات مشترک'!$B$27/'مفروضات مشترک'!$B$28</f>
        <v>2</v>
      </c>
      <c r="Q14" s="20" t="n">
        <f aca="false">'مفروضات مشترک'!$B$27/'مفروضات مشترک'!$B$28</f>
        <v>2</v>
      </c>
      <c r="R14" s="20" t="n">
        <f aca="false">'مفروضات مشترک'!$B$27/'مفروضات مشترک'!$B$28</f>
        <v>2</v>
      </c>
      <c r="S14" s="20" t="n">
        <f aca="false">'مفروضات مشترک'!$B$27/'مفروضات مشترک'!$B$28</f>
        <v>2</v>
      </c>
      <c r="T14" s="20" t="n">
        <f aca="false">'مفروضات مشترک'!$B$27/'مفروضات مشترک'!$B$28</f>
        <v>2</v>
      </c>
      <c r="U14" s="20" t="n">
        <f aca="false">'مفروضات مشترک'!$B$27/'مفروضات مشترک'!$B$28</f>
        <v>2</v>
      </c>
      <c r="V14" s="20" t="n">
        <f aca="false">'مفروضات مشترک'!$B$27/'مفروضات مشترک'!$B$28</f>
        <v>2</v>
      </c>
      <c r="W14" s="20" t="n">
        <f aca="false">'مفروضات مشترک'!$B$27/'مفروضات مشترک'!$B$28</f>
        <v>2</v>
      </c>
      <c r="X14" s="20" t="n">
        <f aca="false">'مفروضات مشترک'!$B$27/'مفروضات مشترک'!$B$28</f>
        <v>2</v>
      </c>
      <c r="Y14" s="20" t="n">
        <f aca="false">'مفروضات مشترک'!$B$27/'مفروضات مشترک'!$B$28</f>
        <v>2</v>
      </c>
    </row>
    <row r="15" customFormat="false" ht="15" hidden="false" customHeight="false" outlineLevel="0" collapsed="false">
      <c r="A15" s="4" t="s">
        <v>355</v>
      </c>
      <c r="B15" s="20" t="n">
        <f aca="false">سناریوها!$D$18*'مفروضات مشترک'!$B$25*160/'اقتصاد واحد'!$D$15</f>
        <v>8.90686976968814</v>
      </c>
      <c r="C15" s="20" t="n">
        <f aca="false">سناریوها!$D$18*'مفروضات مشترک'!$B$25*160/'اقتصاد واحد'!$D$15</f>
        <v>8.90686976968814</v>
      </c>
      <c r="D15" s="20" t="n">
        <f aca="false">سناریوها!$D$18*'مفروضات مشترک'!$B$25*160/'اقتصاد واحد'!$D$15</f>
        <v>8.90686976968814</v>
      </c>
      <c r="E15" s="20" t="n">
        <f aca="false">سناریوها!$D$18*'مفروضات مشترک'!$B$25*160/'اقتصاد واحد'!$D$15</f>
        <v>8.90686976968814</v>
      </c>
      <c r="F15" s="20" t="n">
        <f aca="false">سناریوها!$D$18*'مفروضات مشترک'!$B$25*160/'اقتصاد واحد'!$D$15</f>
        <v>8.90686976968814</v>
      </c>
      <c r="G15" s="20" t="n">
        <f aca="false">سناریوها!$D$18*'مفروضات مشترک'!$B$25*160/'اقتصاد واحد'!$D$15</f>
        <v>8.90686976968814</v>
      </c>
      <c r="H15" s="20" t="n">
        <f aca="false">سناریوها!$D$18*'مفروضات مشترک'!$B$25*160/'اقتصاد واحد'!$D$15</f>
        <v>8.90686976968814</v>
      </c>
      <c r="I15" s="20" t="n">
        <f aca="false">سناریوها!$D$18*'مفروضات مشترک'!$B$25*160/'اقتصاد واحد'!$D$15</f>
        <v>8.90686976968814</v>
      </c>
      <c r="J15" s="20" t="n">
        <f aca="false">سناریوها!$D$18*'مفروضات مشترک'!$B$25*160/'اقتصاد واحد'!$D$15</f>
        <v>8.90686976968814</v>
      </c>
      <c r="K15" s="20" t="n">
        <f aca="false">سناریوها!$D$18*'مفروضات مشترک'!$B$25*160/'اقتصاد واحد'!$D$15</f>
        <v>8.90686976968814</v>
      </c>
      <c r="L15" s="20" t="n">
        <f aca="false">سناریوها!$D$18*'مفروضات مشترک'!$B$25*160/'اقتصاد واحد'!$D$15</f>
        <v>8.90686976968814</v>
      </c>
      <c r="M15" s="20" t="n">
        <f aca="false">سناریوها!$D$18*'مفروضات مشترک'!$B$25*160/'اقتصاد واحد'!$D$15</f>
        <v>8.90686976968814</v>
      </c>
      <c r="N15" s="20" t="n">
        <f aca="false">سناریوها!$D$18*'مفروضات مشترک'!$B$25*160/'اقتصاد واحد'!$D$15</f>
        <v>8.90686976968814</v>
      </c>
      <c r="O15" s="20" t="n">
        <f aca="false">سناریوها!$D$18*'مفروضات مشترک'!$B$25*160/'اقتصاد واحد'!$D$15</f>
        <v>8.90686976968814</v>
      </c>
      <c r="P15" s="20" t="n">
        <f aca="false">سناریوها!$D$18*'مفروضات مشترک'!$B$25*160/'اقتصاد واحد'!$D$15</f>
        <v>8.90686976968814</v>
      </c>
      <c r="Q15" s="20" t="n">
        <f aca="false">سناریوها!$D$18*'مفروضات مشترک'!$B$25*160/'اقتصاد واحد'!$D$15</f>
        <v>8.90686976968814</v>
      </c>
      <c r="R15" s="20" t="n">
        <f aca="false">سناریوها!$D$18*'مفروضات مشترک'!$B$25*160/'اقتصاد واحد'!$D$15</f>
        <v>8.90686976968814</v>
      </c>
      <c r="S15" s="20" t="n">
        <f aca="false">سناریوها!$D$18*'مفروضات مشترک'!$B$25*160/'اقتصاد واحد'!$D$15</f>
        <v>8.90686976968814</v>
      </c>
      <c r="T15" s="20" t="n">
        <f aca="false">سناریوها!$D$18*'مفروضات مشترک'!$B$25*160/'اقتصاد واحد'!$D$15</f>
        <v>8.90686976968814</v>
      </c>
      <c r="U15" s="20" t="n">
        <f aca="false">سناریوها!$D$18*'مفروضات مشترک'!$B$25*160/'اقتصاد واحد'!$D$15</f>
        <v>8.90686976968814</v>
      </c>
      <c r="V15" s="20" t="n">
        <f aca="false">سناریوها!$D$18*'مفروضات مشترک'!$B$25*160/'اقتصاد واحد'!$D$15</f>
        <v>8.90686976968814</v>
      </c>
      <c r="W15" s="20" t="n">
        <f aca="false">سناریوها!$D$18*'مفروضات مشترک'!$B$25*160/'اقتصاد واحد'!$D$15</f>
        <v>8.90686976968814</v>
      </c>
      <c r="X15" s="20" t="n">
        <f aca="false">سناریوها!$D$18*'مفروضات مشترک'!$B$25*160/'اقتصاد واحد'!$D$15</f>
        <v>8.90686976968814</v>
      </c>
      <c r="Y15" s="20" t="n">
        <f aca="false">سناریوها!$D$18*'مفروضات مشترک'!$B$25*160/'اقتصاد واحد'!$D$15</f>
        <v>8.90686976968814</v>
      </c>
    </row>
    <row r="16" customFormat="false" ht="16.4" hidden="false" customHeight="false" outlineLevel="0" collapsed="false">
      <c r="A16" s="4" t="s">
        <v>356</v>
      </c>
      <c r="B16" s="20" t="n">
        <f aca="false">MIN(B12,B14)</f>
        <v>0</v>
      </c>
      <c r="C16" s="20" t="n">
        <f aca="false">MIN(C12,C14)</f>
        <v>0</v>
      </c>
      <c r="D16" s="20" t="n">
        <f aca="false">MIN(D12,D14)</f>
        <v>0</v>
      </c>
      <c r="E16" s="20" t="n">
        <f aca="false">MIN(E12,E14)</f>
        <v>0</v>
      </c>
      <c r="F16" s="20" t="n">
        <f aca="false">MIN(F12,F14)</f>
        <v>0</v>
      </c>
      <c r="G16" s="20" t="n">
        <f aca="false">MIN(G12,G14)</f>
        <v>0</v>
      </c>
      <c r="H16" s="20" t="n">
        <f aca="false">MIN(H12,H14)</f>
        <v>0</v>
      </c>
      <c r="I16" s="20" t="n">
        <f aca="false">MIN(I12,I14)</f>
        <v>0</v>
      </c>
      <c r="J16" s="20" t="n">
        <f aca="false">MIN(J12,J14)</f>
        <v>0.5</v>
      </c>
      <c r="K16" s="20" t="n">
        <f aca="false">MIN(K12,K14)</f>
        <v>0.5</v>
      </c>
      <c r="L16" s="20" t="n">
        <f aca="false">MIN(L12,L14)</f>
        <v>0.5</v>
      </c>
      <c r="M16" s="20" t="n">
        <f aca="false">MIN(M12,M14)</f>
        <v>0.5</v>
      </c>
      <c r="N16" s="20" t="n">
        <f aca="false">MIN(N12,N14)</f>
        <v>0.5</v>
      </c>
      <c r="O16" s="20" t="n">
        <f aca="false">MIN(O12,O14)</f>
        <v>0.5</v>
      </c>
      <c r="P16" s="20" t="n">
        <f aca="false">MIN(P12,P14)</f>
        <v>0.5</v>
      </c>
      <c r="Q16" s="20" t="n">
        <f aca="false">MIN(Q12,Q14)</f>
        <v>0.5</v>
      </c>
      <c r="R16" s="20" t="n">
        <f aca="false">MIN(R12,R14)</f>
        <v>0.5</v>
      </c>
      <c r="S16" s="20" t="n">
        <f aca="false">MIN(S12,S14)</f>
        <v>0.5</v>
      </c>
      <c r="T16" s="20" t="n">
        <f aca="false">MIN(T12,T14)</f>
        <v>0.5</v>
      </c>
      <c r="U16" s="20" t="n">
        <f aca="false">MIN(U12,U14)</f>
        <v>0.5</v>
      </c>
      <c r="V16" s="20" t="n">
        <f aca="false">MIN(V12,V14)</f>
        <v>0.5</v>
      </c>
      <c r="W16" s="20" t="n">
        <f aca="false">MIN(W12,W14)</f>
        <v>0.5</v>
      </c>
      <c r="X16" s="20" t="n">
        <f aca="false">MIN(X12,X14)</f>
        <v>0.5</v>
      </c>
      <c r="Y16" s="20" t="n">
        <f aca="false">MIN(Y12,Y14)</f>
        <v>0.5</v>
      </c>
    </row>
    <row r="17" customFormat="false" ht="16.4" hidden="false" customHeight="false" outlineLevel="0" collapsed="false">
      <c r="A17" s="17" t="s">
        <v>357</v>
      </c>
      <c r="B17" s="18" t="n">
        <f aca="false">MIN(B15,سناریوها!$D$7,B16)</f>
        <v>0</v>
      </c>
      <c r="C17" s="18" t="n">
        <f aca="false">MIN(C15,سناریوها!$D$7,B17*(1-سناریوها!$D$16/12)+C16)</f>
        <v>0</v>
      </c>
      <c r="D17" s="18" t="n">
        <f aca="false">MIN(D15,سناریوها!$D$7,C17*(1-سناریوها!$D$16/12)+D16)</f>
        <v>0</v>
      </c>
      <c r="E17" s="18" t="n">
        <f aca="false">MIN(E15,سناریوها!$D$7,D17*(1-سناریوها!$D$16/12)+E16)</f>
        <v>0</v>
      </c>
      <c r="F17" s="18" t="n">
        <f aca="false">MIN(F15,سناریوها!$D$7,E17*(1-سناریوها!$D$16/12)+F16)</f>
        <v>0</v>
      </c>
      <c r="G17" s="18" t="n">
        <f aca="false">MIN(G15,سناریوها!$D$7,F17*(1-سناریوها!$D$16/12)+G16)</f>
        <v>0</v>
      </c>
      <c r="H17" s="18" t="n">
        <f aca="false">MIN(H15,سناریوها!$D$7,G17*(1-سناریوها!$D$16/12)+H16)</f>
        <v>0</v>
      </c>
      <c r="I17" s="18" t="n">
        <f aca="false">MIN(I15,سناریوها!$D$7,H17*(1-سناریوها!$D$16/12)+I16)</f>
        <v>0</v>
      </c>
      <c r="J17" s="18" t="n">
        <f aca="false">MIN(J15,سناریوها!$D$7,I17*(1-سناریوها!$D$16/12)+J16)</f>
        <v>0.5</v>
      </c>
      <c r="K17" s="18" t="n">
        <f aca="false">MIN(K15,سناریوها!$D$7,J17*(1-سناریوها!$D$16/12)+K16)</f>
        <v>0.99375</v>
      </c>
      <c r="L17" s="18" t="n">
        <f aca="false">MIN(L15,سناریوها!$D$7,K17*(1-سناریوها!$D$16/12)+L16)</f>
        <v>1.481328125</v>
      </c>
      <c r="M17" s="18" t="n">
        <f aca="false">MIN(M15,سناریوها!$D$7,L17*(1-سناریوها!$D$16/12)+M16)</f>
        <v>1.9628115234375</v>
      </c>
      <c r="N17" s="18" t="n">
        <f aca="false">MIN(N15,سناریوها!$D$7,M17*(1-سناریوها!$D$16/12)+N16)</f>
        <v>2.43827637939453</v>
      </c>
      <c r="O17" s="18" t="n">
        <f aca="false">MIN(O15,سناریوها!$D$7,N17*(1-سناریوها!$D$16/12)+O16)</f>
        <v>2.9077979246521</v>
      </c>
      <c r="P17" s="18" t="n">
        <f aca="false">MIN(P15,سناریوها!$D$7,O17*(1-سناریوها!$D$16/12)+P16)</f>
        <v>3.37145045059395</v>
      </c>
      <c r="Q17" s="18" t="n">
        <f aca="false">MIN(Q15,سناریوها!$D$7,P17*(1-سناریوها!$D$16/12)+Q16)</f>
        <v>3.82930731996152</v>
      </c>
      <c r="R17" s="18" t="n">
        <f aca="false">MIN(R15,سناریوها!$D$7,Q17*(1-سناریوها!$D$16/12)+R16)</f>
        <v>4.28144097846201</v>
      </c>
      <c r="S17" s="18" t="n">
        <f aca="false">MIN(S15,سناریوها!$D$7,R17*(1-سناریوها!$D$16/12)+S16)</f>
        <v>4.72792296623123</v>
      </c>
      <c r="T17" s="18" t="n">
        <f aca="false">MIN(T15,سناریوها!$D$7,S17*(1-سناریوها!$D$16/12)+T16)</f>
        <v>5.16882392915334</v>
      </c>
      <c r="U17" s="18" t="n">
        <f aca="false">MIN(U15,سناریوها!$D$7,T17*(1-سناریوها!$D$16/12)+U16)</f>
        <v>5.60421363003892</v>
      </c>
      <c r="V17" s="18" t="n">
        <f aca="false">MIN(V15,سناریوها!$D$7,U17*(1-سناریوها!$D$16/12)+V16)</f>
        <v>6.03416095966344</v>
      </c>
      <c r="W17" s="18" t="n">
        <f aca="false">MIN(W15,سناریوها!$D$7,V17*(1-سناریوها!$D$16/12)+W16)</f>
        <v>6.45873394766765</v>
      </c>
      <c r="X17" s="18" t="n">
        <f aca="false">MIN(X15,سناریوها!$D$7,W17*(1-سناریوها!$D$16/12)+X16)</f>
        <v>6.8779997733218</v>
      </c>
      <c r="Y17" s="18" t="n">
        <f aca="false">MIN(Y15,سناریوها!$D$7,X17*(1-سناریوها!$D$16/12)+Y16)</f>
        <v>7.29202477615528</v>
      </c>
    </row>
    <row r="18" customFormat="false" ht="15" hidden="false" customHeight="false" outlineLevel="0" collapsed="false">
      <c r="A18" s="27" t="s">
        <v>254</v>
      </c>
      <c r="B18" s="28"/>
      <c r="C18" s="28"/>
      <c r="D18" s="28"/>
      <c r="E18" s="28"/>
      <c r="F18" s="28"/>
      <c r="G18" s="28"/>
      <c r="H18" s="28"/>
      <c r="I18" s="28"/>
      <c r="J18" s="28"/>
      <c r="K18" s="28"/>
      <c r="L18" s="28"/>
      <c r="M18" s="28"/>
      <c r="N18" s="28"/>
      <c r="O18" s="28"/>
      <c r="P18" s="28"/>
      <c r="Q18" s="28"/>
      <c r="R18" s="28"/>
      <c r="S18" s="28"/>
      <c r="T18" s="28"/>
      <c r="U18" s="28"/>
      <c r="V18" s="28"/>
      <c r="W18" s="28"/>
      <c r="X18" s="28"/>
      <c r="Y18" s="28"/>
    </row>
    <row r="19" customFormat="false" ht="15" hidden="false" customHeight="false" outlineLevel="0" collapsed="false">
      <c r="A19" s="4" t="s">
        <v>358</v>
      </c>
      <c r="B19" s="19" t="n">
        <f aca="false">B17*'اقتصاد واحد'!$D$11*B7*B8</f>
        <v>0</v>
      </c>
      <c r="C19" s="19" t="n">
        <f aca="false">C17*'اقتصاد واحد'!$D$11*C7*C8</f>
        <v>0</v>
      </c>
      <c r="D19" s="19" t="n">
        <f aca="false">D17*'اقتصاد واحد'!$D$11*D7*D8</f>
        <v>0</v>
      </c>
      <c r="E19" s="19" t="n">
        <f aca="false">E17*'اقتصاد واحد'!$D$11*E7*E8</f>
        <v>0</v>
      </c>
      <c r="F19" s="19" t="n">
        <f aca="false">F17*'اقتصاد واحد'!$D$11*F7*F8</f>
        <v>0</v>
      </c>
      <c r="G19" s="19" t="n">
        <f aca="false">G17*'اقتصاد واحد'!$D$11*G7*G8</f>
        <v>0</v>
      </c>
      <c r="H19" s="19" t="n">
        <f aca="false">H17*'اقتصاد واحد'!$D$11*H7*H8</f>
        <v>0</v>
      </c>
      <c r="I19" s="19" t="n">
        <f aca="false">I17*'اقتصاد واحد'!$D$11*I7*I8</f>
        <v>0</v>
      </c>
      <c r="J19" s="19" t="n">
        <f aca="false">J17*'اقتصاد واحد'!$D$11*J7*J8</f>
        <v>26.12736</v>
      </c>
      <c r="K19" s="19" t="n">
        <f aca="false">K17*'اقتصاد واحد'!$D$11*K7*K8</f>
        <v>51.928128</v>
      </c>
      <c r="L19" s="19" t="n">
        <f aca="false">L17*'اقتصاد واحد'!$D$11*L7*L8</f>
        <v>193.515966</v>
      </c>
      <c r="M19" s="19" t="n">
        <f aca="false">M17*'اقتصاد واحد'!$D$11*M7*M8</f>
        <v>256.415416425</v>
      </c>
      <c r="N19" s="19" t="n">
        <f aca="false">N17*'اقتصاد واحد'!$D$11*N7*N8</f>
        <v>422.050426428586</v>
      </c>
      <c r="O19" s="19" t="n">
        <f aca="false">O17*'اقتصاد واحد'!$D$11*O7*O8</f>
        <v>503.321676098228</v>
      </c>
      <c r="P19" s="19" t="n">
        <f aca="false">P17*'اقتصاد واحد'!$D$11*P7*P8</f>
        <v>583.577035147001</v>
      </c>
      <c r="Q19" s="19" t="n">
        <f aca="false">Q17*'اقتصاد واحد'!$D$11*Q7*Q8</f>
        <v>662.829202207663</v>
      </c>
      <c r="R19" s="19" t="n">
        <f aca="false">R17*'اقتصاد واحد'!$D$11*R7*R8</f>
        <v>741.090717180067</v>
      </c>
      <c r="S19" s="19" t="n">
        <f aca="false">S17*'اقتصاد واحد'!$D$11*S7*S8</f>
        <v>818.373963215316</v>
      </c>
      <c r="T19" s="19" t="n">
        <f aca="false">T17*'اقتصاد واحد'!$D$11*T7*T8</f>
        <v>1192.9215582335</v>
      </c>
      <c r="U19" s="19" t="n">
        <f aca="false">U17*'اقتصاد واحد'!$D$11*U7*U8</f>
        <v>1293.40587875558</v>
      </c>
      <c r="V19" s="19" t="n">
        <f aca="false">V17*'اقتصاد واحد'!$D$11*V7*V8</f>
        <v>1392.63414527114</v>
      </c>
      <c r="W19" s="19" t="n">
        <f aca="false">W17*'اقتصاد واحد'!$D$11*W7*W8</f>
        <v>1490.62205845525</v>
      </c>
      <c r="X19" s="19" t="n">
        <f aca="false">X17*'اقتصاد واحد'!$D$11*X7*X8</f>
        <v>1587.38512272456</v>
      </c>
      <c r="Y19" s="19" t="n">
        <f aca="false">Y17*'اقتصاد واحد'!$D$11*Y7*Y8</f>
        <v>1682.9386486905</v>
      </c>
    </row>
    <row r="20" customFormat="false" ht="15" hidden="false" customHeight="false" outlineLevel="0" collapsed="false">
      <c r="A20" s="4" t="s">
        <v>359</v>
      </c>
      <c r="B20" s="19" t="n">
        <f aca="false">B16*'اقتصاد واحد'!$D$12*B7</f>
        <v>0</v>
      </c>
      <c r="C20" s="19" t="n">
        <f aca="false">C16*'اقتصاد واحد'!$D$12*C7</f>
        <v>0</v>
      </c>
      <c r="D20" s="19" t="n">
        <f aca="false">D16*'اقتصاد واحد'!$D$12*D7</f>
        <v>0</v>
      </c>
      <c r="E20" s="19" t="n">
        <f aca="false">E16*'اقتصاد واحد'!$D$12*E7</f>
        <v>0</v>
      </c>
      <c r="F20" s="19" t="n">
        <f aca="false">F16*'اقتصاد واحد'!$D$12*F7</f>
        <v>0</v>
      </c>
      <c r="G20" s="19" t="n">
        <f aca="false">G16*'اقتصاد واحد'!$D$12*G7</f>
        <v>0</v>
      </c>
      <c r="H20" s="19" t="n">
        <f aca="false">H16*'اقتصاد واحد'!$D$12*H7</f>
        <v>0</v>
      </c>
      <c r="I20" s="19" t="n">
        <f aca="false">I16*'اقتصاد واحد'!$D$12*I7</f>
        <v>0</v>
      </c>
      <c r="J20" s="19" t="n">
        <f aca="false">J16*'اقتصاد واحد'!$D$12*J7</f>
        <v>112.5</v>
      </c>
      <c r="K20" s="19" t="n">
        <f aca="false">K16*'اقتصاد واحد'!$D$12*K7</f>
        <v>112.5</v>
      </c>
      <c r="L20" s="19" t="n">
        <f aca="false">L16*'اقتصاد واحد'!$D$12*L7</f>
        <v>112.5</v>
      </c>
      <c r="M20" s="19" t="n">
        <f aca="false">M16*'اقتصاد واحد'!$D$12*M7</f>
        <v>112.5</v>
      </c>
      <c r="N20" s="19" t="n">
        <f aca="false">N16*'اقتصاد واحد'!$D$12*N7</f>
        <v>149.0625</v>
      </c>
      <c r="O20" s="19" t="n">
        <f aca="false">O16*'اقتصاد واحد'!$D$12*O7</f>
        <v>149.0625</v>
      </c>
      <c r="P20" s="19" t="n">
        <f aca="false">P16*'اقتصاد واحد'!$D$12*P7</f>
        <v>149.0625</v>
      </c>
      <c r="Q20" s="19" t="n">
        <f aca="false">Q16*'اقتصاد واحد'!$D$12*Q7</f>
        <v>149.0625</v>
      </c>
      <c r="R20" s="19" t="n">
        <f aca="false">R16*'اقتصاد واحد'!$D$12*R7</f>
        <v>149.0625</v>
      </c>
      <c r="S20" s="19" t="n">
        <f aca="false">S16*'اقتصاد واحد'!$D$12*S7</f>
        <v>149.0625</v>
      </c>
      <c r="T20" s="19" t="n">
        <f aca="false">T16*'اقتصاد واحد'!$D$12*T7</f>
        <v>149.0625</v>
      </c>
      <c r="U20" s="19" t="n">
        <f aca="false">U16*'اقتصاد واحد'!$D$12*U7</f>
        <v>149.0625</v>
      </c>
      <c r="V20" s="19" t="n">
        <f aca="false">V16*'اقتصاد واحد'!$D$12*V7</f>
        <v>149.0625</v>
      </c>
      <c r="W20" s="19" t="n">
        <f aca="false">W16*'اقتصاد واحد'!$D$12*W7</f>
        <v>149.0625</v>
      </c>
      <c r="X20" s="19" t="n">
        <f aca="false">X16*'اقتصاد واحد'!$D$12*X7</f>
        <v>149.0625</v>
      </c>
      <c r="Y20" s="19" t="n">
        <f aca="false">Y16*'اقتصاد واحد'!$D$12*Y7</f>
        <v>149.0625</v>
      </c>
    </row>
    <row r="21" customFormat="false" ht="15" hidden="false" customHeight="false" outlineLevel="0" collapsed="false">
      <c r="A21" s="17" t="s">
        <v>360</v>
      </c>
      <c r="B21" s="13" t="n">
        <f aca="false">B19+B20</f>
        <v>0</v>
      </c>
      <c r="C21" s="13" t="n">
        <f aca="false">C19+C20</f>
        <v>0</v>
      </c>
      <c r="D21" s="13" t="n">
        <f aca="false">D19+D20</f>
        <v>0</v>
      </c>
      <c r="E21" s="13" t="n">
        <f aca="false">E19+E20</f>
        <v>0</v>
      </c>
      <c r="F21" s="13" t="n">
        <f aca="false">F19+F20</f>
        <v>0</v>
      </c>
      <c r="G21" s="13" t="n">
        <f aca="false">G19+G20</f>
        <v>0</v>
      </c>
      <c r="H21" s="13" t="n">
        <f aca="false">H19+H20</f>
        <v>0</v>
      </c>
      <c r="I21" s="13" t="n">
        <f aca="false">I19+I20</f>
        <v>0</v>
      </c>
      <c r="J21" s="13" t="n">
        <f aca="false">J19+J20</f>
        <v>138.62736</v>
      </c>
      <c r="K21" s="13" t="n">
        <f aca="false">K19+K20</f>
        <v>164.428128</v>
      </c>
      <c r="L21" s="13" t="n">
        <f aca="false">L19+L20</f>
        <v>306.015966</v>
      </c>
      <c r="M21" s="13" t="n">
        <f aca="false">M19+M20</f>
        <v>368.915416425</v>
      </c>
      <c r="N21" s="13" t="n">
        <f aca="false">N19+N20</f>
        <v>571.112926428586</v>
      </c>
      <c r="O21" s="13" t="n">
        <f aca="false">O19+O20</f>
        <v>652.384176098228</v>
      </c>
      <c r="P21" s="13" t="n">
        <f aca="false">P19+P20</f>
        <v>732.639535147001</v>
      </c>
      <c r="Q21" s="13" t="n">
        <f aca="false">Q19+Q20</f>
        <v>811.891702207663</v>
      </c>
      <c r="R21" s="13" t="n">
        <f aca="false">R19+R20</f>
        <v>890.153217180067</v>
      </c>
      <c r="S21" s="13" t="n">
        <f aca="false">S19+S20</f>
        <v>967.436463215316</v>
      </c>
      <c r="T21" s="13" t="n">
        <f aca="false">T19+T20</f>
        <v>1341.9840582335</v>
      </c>
      <c r="U21" s="13" t="n">
        <f aca="false">U19+U20</f>
        <v>1442.46837875558</v>
      </c>
      <c r="V21" s="13" t="n">
        <f aca="false">V19+V20</f>
        <v>1541.69664527114</v>
      </c>
      <c r="W21" s="13" t="n">
        <f aca="false">W19+W20</f>
        <v>1639.68455845525</v>
      </c>
      <c r="X21" s="13" t="n">
        <f aca="false">X19+X20</f>
        <v>1736.44762272456</v>
      </c>
      <c r="Y21" s="13" t="n">
        <f aca="false">Y19+Y20</f>
        <v>1832.0011486905</v>
      </c>
    </row>
    <row r="22" customFormat="false" ht="15" hidden="false" customHeight="false" outlineLevel="0" collapsed="false">
      <c r="A22" s="27" t="s">
        <v>361</v>
      </c>
      <c r="B22" s="28"/>
      <c r="C22" s="28"/>
      <c r="D22" s="28"/>
      <c r="E22" s="28"/>
      <c r="F22" s="28"/>
      <c r="G22" s="28"/>
      <c r="H22" s="28"/>
      <c r="I22" s="28"/>
      <c r="J22" s="28"/>
      <c r="K22" s="28"/>
      <c r="L22" s="28"/>
      <c r="M22" s="28"/>
      <c r="N22" s="28"/>
      <c r="O22" s="28"/>
      <c r="P22" s="28"/>
      <c r="Q22" s="28"/>
      <c r="R22" s="28"/>
      <c r="S22" s="28"/>
      <c r="T22" s="28"/>
      <c r="U22" s="28"/>
      <c r="V22" s="28"/>
      <c r="W22" s="28"/>
      <c r="X22" s="28"/>
      <c r="Y22" s="28"/>
    </row>
    <row r="23" customFormat="false" ht="15" hidden="false" customHeight="false" outlineLevel="0" collapsed="false">
      <c r="A23" s="4" t="s">
        <v>362</v>
      </c>
      <c r="B23" s="19" t="n">
        <f aca="false">('مفروضات مشترک'!$B$52*B6)*(IF(AND(1&gt;'مفروضات مشترک'!$B$16-'مفروضات مشترک'!$B$23-1,1&lt;='مفروضات مشترک'!$B$16-1),'مفروضات مشترک'!$B$20/'مفروضات مشترک'!$B$23,0)+IF(AND(1&gt;'مفروضات مشترک'!$B$17-'مفروضات مشترک'!$B$23-1,1&lt;='مفروضات مشترک'!$B$17-1),'مفروضات مشترک'!$B$21/'مفروضات مشترک'!$B$23,0)+IF(AND(1&gt;'مفروضات مشترک'!$B$18-'مفروضات مشترک'!$B$23-1,1&lt;='مفروضات مشترک'!$B$18-1),'مفروضات مشترک'!$B$22/'مفروضات مشترک'!$B$23,0))</f>
        <v>414.4</v>
      </c>
      <c r="C23" s="19" t="n">
        <f aca="false">('مفروضات مشترک'!$B$52*C6)*(IF(AND(2&gt;'مفروضات مشترک'!$B$16-'مفروضات مشترک'!$B$23-1,2&lt;='مفروضات مشترک'!$B$16-1),'مفروضات مشترک'!$B$20/'مفروضات مشترک'!$B$23,0)+IF(AND(2&gt;'مفروضات مشترک'!$B$17-'مفروضات مشترک'!$B$23-1,2&lt;='مفروضات مشترک'!$B$17-1),'مفروضات مشترک'!$B$21/'مفروضات مشترک'!$B$23,0)+IF(AND(2&gt;'مفروضات مشترک'!$B$18-'مفروضات مشترک'!$B$23-1,2&lt;='مفروضات مشترک'!$B$18-1),'مفروضات مشترک'!$B$22/'مفروضات مشترک'!$B$23,0))</f>
        <v>414.4</v>
      </c>
      <c r="D23" s="19" t="n">
        <f aca="false">('مفروضات مشترک'!$B$52*D6)*(IF(AND(3&gt;'مفروضات مشترک'!$B$16-'مفروضات مشترک'!$B$23-1,3&lt;='مفروضات مشترک'!$B$16-1),'مفروضات مشترک'!$B$20/'مفروضات مشترک'!$B$23,0)+IF(AND(3&gt;'مفروضات مشترک'!$B$17-'مفروضات مشترک'!$B$23-1,3&lt;='مفروضات مشترک'!$B$17-1),'مفروضات مشترک'!$B$21/'مفروضات مشترک'!$B$23,0)+IF(AND(3&gt;'مفروضات مشترک'!$B$18-'مفروضات مشترک'!$B$23-1,3&lt;='مفروضات مشترک'!$B$18-1),'مفروضات مشترک'!$B$22/'مفروضات مشترک'!$B$23,0))</f>
        <v>414.4</v>
      </c>
      <c r="E23" s="19" t="n">
        <f aca="false">('مفروضات مشترک'!$B$52*E6)*(IF(AND(4&gt;'مفروضات مشترک'!$B$16-'مفروضات مشترک'!$B$23-1,4&lt;='مفروضات مشترک'!$B$16-1),'مفروضات مشترک'!$B$20/'مفروضات مشترک'!$B$23,0)+IF(AND(4&gt;'مفروضات مشترک'!$B$17-'مفروضات مشترک'!$B$23-1,4&lt;='مفروضات مشترک'!$B$17-1),'مفروضات مشترک'!$B$21/'مفروضات مشترک'!$B$23,0)+IF(AND(4&gt;'مفروضات مشترک'!$B$18-'مفروضات مشترک'!$B$23-1,4&lt;='مفروضات مشترک'!$B$18-1),'مفروضات مشترک'!$B$22/'مفروضات مشترک'!$B$23,0))</f>
        <v>414.4</v>
      </c>
      <c r="F23" s="19" t="n">
        <f aca="false">('مفروضات مشترک'!$B$52*F6)*(IF(AND(5&gt;'مفروضات مشترک'!$B$16-'مفروضات مشترک'!$B$23-1,5&lt;='مفروضات مشترک'!$B$16-1),'مفروضات مشترک'!$B$20/'مفروضات مشترک'!$B$23,0)+IF(AND(5&gt;'مفروضات مشترک'!$B$17-'مفروضات مشترک'!$B$23-1,5&lt;='مفروضات مشترک'!$B$17-1),'مفروضات مشترک'!$B$21/'مفروضات مشترک'!$B$23,0)+IF(AND(5&gt;'مفروضات مشترک'!$B$18-'مفروضات مشترک'!$B$23-1,5&lt;='مفروضات مشترک'!$B$18-1),'مفروضات مشترک'!$B$22/'مفروضات مشترک'!$B$23,0))</f>
        <v>414.4</v>
      </c>
      <c r="G23" s="19" t="n">
        <f aca="false">('مفروضات مشترک'!$B$52*G6)*(IF(AND(6&gt;'مفروضات مشترک'!$B$16-'مفروضات مشترک'!$B$23-1,6&lt;='مفروضات مشترک'!$B$16-1),'مفروضات مشترک'!$B$20/'مفروضات مشترک'!$B$23,0)+IF(AND(6&gt;'مفروضات مشترک'!$B$17-'مفروضات مشترک'!$B$23-1,6&lt;='مفروضات مشترک'!$B$17-1),'مفروضات مشترک'!$B$21/'مفروضات مشترک'!$B$23,0)+IF(AND(6&gt;'مفروضات مشترک'!$B$18-'مفروضات مشترک'!$B$23-1,6&lt;='مفروضات مشترک'!$B$18-1),'مفروضات مشترک'!$B$22/'مفروضات مشترک'!$B$23,0))</f>
        <v>745.92</v>
      </c>
      <c r="H23" s="19" t="n">
        <f aca="false">('مفروضات مشترک'!$B$52*H6)*(IF(AND(7&gt;'مفروضات مشترک'!$B$16-'مفروضات مشترک'!$B$23-1,7&lt;='مفروضات مشترک'!$B$16-1),'مفروضات مشترک'!$B$20/'مفروضات مشترک'!$B$23,0)+IF(AND(7&gt;'مفروضات مشترک'!$B$17-'مفروضات مشترک'!$B$23-1,7&lt;='مفروضات مشترک'!$B$17-1),'مفروضات مشترک'!$B$21/'مفروضات مشترک'!$B$23,0)+IF(AND(7&gt;'مفروضات مشترک'!$B$18-'مفروضات مشترک'!$B$23-1,7&lt;='مفروضات مشترک'!$B$18-1),'مفروضات مشترک'!$B$22/'مفروضات مشترک'!$B$23,0))</f>
        <v>745.92</v>
      </c>
      <c r="I23" s="19" t="n">
        <f aca="false">('مفروضات مشترک'!$B$52*I6)*(IF(AND(8&gt;'مفروضات مشترک'!$B$16-'مفروضات مشترک'!$B$23-1,8&lt;='مفروضات مشترک'!$B$16-1),'مفروضات مشترک'!$B$20/'مفروضات مشترک'!$B$23,0)+IF(AND(8&gt;'مفروضات مشترک'!$B$17-'مفروضات مشترک'!$B$23-1,8&lt;='مفروضات مشترک'!$B$17-1),'مفروضات مشترک'!$B$21/'مفروضات مشترک'!$B$23,0)+IF(AND(8&gt;'مفروضات مشترک'!$B$18-'مفروضات مشترک'!$B$23-1,8&lt;='مفروضات مشترک'!$B$18-1),'مفروضات مشترک'!$B$22/'مفروضات مشترک'!$B$23,0))</f>
        <v>745.92</v>
      </c>
      <c r="J23" s="19" t="n">
        <f aca="false">('مفروضات مشترک'!$B$52*J6)*(IF(AND(9&gt;'مفروضات مشترک'!$B$16-'مفروضات مشترک'!$B$23-1,9&lt;='مفروضات مشترک'!$B$16-1),'مفروضات مشترک'!$B$20/'مفروضات مشترک'!$B$23,0)+IF(AND(9&gt;'مفروضات مشترک'!$B$17-'مفروضات مشترک'!$B$23-1,9&lt;='مفروضات مشترک'!$B$17-1),'مفروضات مشترک'!$B$21/'مفروضات مشترک'!$B$23,0)+IF(AND(9&gt;'مفروضات مشترک'!$B$18-'مفروضات مشترک'!$B$23-1,9&lt;='مفروضات مشترک'!$B$18-1),'مفروضات مشترک'!$B$22/'مفروضات مشترک'!$B$23,0))</f>
        <v>745.92</v>
      </c>
      <c r="K23" s="19" t="n">
        <f aca="false">('مفروضات مشترک'!$B$52*K6)*(IF(AND(10&gt;'مفروضات مشترک'!$B$16-'مفروضات مشترک'!$B$23-1,10&lt;='مفروضات مشترک'!$B$16-1),'مفروضات مشترک'!$B$20/'مفروضات مشترک'!$B$23,0)+IF(AND(10&gt;'مفروضات مشترک'!$B$17-'مفروضات مشترک'!$B$23-1,10&lt;='مفروضات مشترک'!$B$17-1),'مفروضات مشترک'!$B$21/'مفروضات مشترک'!$B$23,0)+IF(AND(10&gt;'مفروضات مشترک'!$B$18-'مفروضات مشترک'!$B$23-1,10&lt;='مفروضات مشترک'!$B$18-1),'مفروضات مشترک'!$B$22/'مفروضات مشترک'!$B$23,0))</f>
        <v>745.92</v>
      </c>
      <c r="L23" s="19" t="n">
        <f aca="false">('مفروضات مشترک'!$B$52*L6)*(IF(AND(11&gt;'مفروضات مشترک'!$B$16-'مفروضات مشترک'!$B$23-1,11&lt;='مفروضات مشترک'!$B$16-1),'مفروضات مشترک'!$B$20/'مفروضات مشترک'!$B$23,0)+IF(AND(11&gt;'مفروضات مشترک'!$B$17-'مفروضات مشترک'!$B$23-1,11&lt;='مفروضات مشترک'!$B$17-1),'مفروضات مشترک'!$B$21/'مفروضات مشترک'!$B$23,0)+IF(AND(11&gt;'مفروضات مشترک'!$B$18-'مفروضات مشترک'!$B$23-1,11&lt;='مفروضات مشترک'!$B$18-1),'مفروضات مشترک'!$B$22/'مفروضات مشترک'!$B$23,0))</f>
        <v>0</v>
      </c>
      <c r="M23" s="19" t="n">
        <f aca="false">('مفروضات مشترک'!$B$52*M6)*(IF(AND(12&gt;'مفروضات مشترک'!$B$16-'مفروضات مشترک'!$B$23-1,12&lt;='مفروضات مشترک'!$B$16-1),'مفروضات مشترک'!$B$20/'مفروضات مشترک'!$B$23,0)+IF(AND(12&gt;'مفروضات مشترک'!$B$17-'مفروضات مشترک'!$B$23-1,12&lt;='مفروضات مشترک'!$B$17-1),'مفروضات مشترک'!$B$21/'مفروضات مشترک'!$B$23,0)+IF(AND(12&gt;'مفروضات مشترک'!$B$18-'مفروضات مشترک'!$B$23-1,12&lt;='مفروضات مشترک'!$B$18-1),'مفروضات مشترک'!$B$22/'مفروضات مشترک'!$B$23,0))</f>
        <v>0</v>
      </c>
      <c r="N23" s="19" t="n">
        <f aca="false">('مفروضات مشترک'!$B$52*N6)*(IF(AND(13&gt;'مفروضات مشترک'!$B$16-'مفروضات مشترک'!$B$23-1,13&lt;='مفروضات مشترک'!$B$16-1),'مفروضات مشترک'!$B$20/'مفروضات مشترک'!$B$23,0)+IF(AND(13&gt;'مفروضات مشترک'!$B$17-'مفروضات مشترک'!$B$23-1,13&lt;='مفروضات مشترک'!$B$17-1),'مفروضات مشترک'!$B$21/'مفروضات مشترک'!$B$23,0)+IF(AND(13&gt;'مفروضات مشترک'!$B$18-'مفروضات مشترک'!$B$23-1,13&lt;='مفروضات مشترک'!$B$18-1),'مفروضات مشترک'!$B$22/'مفروضات مشترک'!$B$23,0))</f>
        <v>0</v>
      </c>
      <c r="O23" s="19" t="n">
        <f aca="false">('مفروضات مشترک'!$B$52*O6)*(IF(AND(14&gt;'مفروضات مشترک'!$B$16-'مفروضات مشترک'!$B$23-1,14&lt;='مفروضات مشترک'!$B$16-1),'مفروضات مشترک'!$B$20/'مفروضات مشترک'!$B$23,0)+IF(AND(14&gt;'مفروضات مشترک'!$B$17-'مفروضات مشترک'!$B$23-1,14&lt;='مفروضات مشترک'!$B$17-1),'مفروضات مشترک'!$B$21/'مفروضات مشترک'!$B$23,0)+IF(AND(14&gt;'مفروضات مشترک'!$B$18-'مفروضات مشترک'!$B$23-1,14&lt;='مفروضات مشترک'!$B$18-1),'مفروضات مشترک'!$B$22/'مفروضات مشترک'!$B$23,0))</f>
        <v>1160.32</v>
      </c>
      <c r="P23" s="19" t="n">
        <f aca="false">('مفروضات مشترک'!$B$52*P6)*(IF(AND(15&gt;'مفروضات مشترک'!$B$16-'مفروضات مشترک'!$B$23-1,15&lt;='مفروضات مشترک'!$B$16-1),'مفروضات مشترک'!$B$20/'مفروضات مشترک'!$B$23,0)+IF(AND(15&gt;'مفروضات مشترک'!$B$17-'مفروضات مشترک'!$B$23-1,15&lt;='مفروضات مشترک'!$B$17-1),'مفروضات مشترک'!$B$21/'مفروضات مشترک'!$B$23,0)+IF(AND(15&gt;'مفروضات مشترک'!$B$18-'مفروضات مشترک'!$B$23-1,15&lt;='مفروضات مشترک'!$B$18-1),'مفروضات مشترک'!$B$22/'مفروضات مشترک'!$B$23,0))</f>
        <v>1160.32</v>
      </c>
      <c r="Q23" s="19" t="n">
        <f aca="false">('مفروضات مشترک'!$B$52*Q6)*(IF(AND(16&gt;'مفروضات مشترک'!$B$16-'مفروضات مشترک'!$B$23-1,16&lt;='مفروضات مشترک'!$B$16-1),'مفروضات مشترک'!$B$20/'مفروضات مشترک'!$B$23,0)+IF(AND(16&gt;'مفروضات مشترک'!$B$17-'مفروضات مشترک'!$B$23-1,16&lt;='مفروضات مشترک'!$B$17-1),'مفروضات مشترک'!$B$21/'مفروضات مشترک'!$B$23,0)+IF(AND(16&gt;'مفروضات مشترک'!$B$18-'مفروضات مشترک'!$B$23-1,16&lt;='مفروضات مشترک'!$B$18-1),'مفروضات مشترک'!$B$22/'مفروضات مشترک'!$B$23,0))</f>
        <v>1160.32</v>
      </c>
      <c r="R23" s="19" t="n">
        <f aca="false">('مفروضات مشترک'!$B$52*R6)*(IF(AND(17&gt;'مفروضات مشترک'!$B$16-'مفروضات مشترک'!$B$23-1,17&lt;='مفروضات مشترک'!$B$16-1),'مفروضات مشترک'!$B$20/'مفروضات مشترک'!$B$23,0)+IF(AND(17&gt;'مفروضات مشترک'!$B$17-'مفروضات مشترک'!$B$23-1,17&lt;='مفروضات مشترک'!$B$17-1),'مفروضات مشترک'!$B$21/'مفروضات مشترک'!$B$23,0)+IF(AND(17&gt;'مفروضات مشترک'!$B$18-'مفروضات مشترک'!$B$23-1,17&lt;='مفروضات مشترک'!$B$18-1),'مفروضات مشترک'!$B$22/'مفروضات مشترک'!$B$23,0))</f>
        <v>1160.32</v>
      </c>
      <c r="S23" s="19" t="n">
        <f aca="false">('مفروضات مشترک'!$B$52*S6)*(IF(AND(18&gt;'مفروضات مشترک'!$B$16-'مفروضات مشترک'!$B$23-1,18&lt;='مفروضات مشترک'!$B$16-1),'مفروضات مشترک'!$B$20/'مفروضات مشترک'!$B$23,0)+IF(AND(18&gt;'مفروضات مشترک'!$B$17-'مفروضات مشترک'!$B$23-1,18&lt;='مفروضات مشترک'!$B$17-1),'مفروضات مشترک'!$B$21/'مفروضات مشترک'!$B$23,0)+IF(AND(18&gt;'مفروضات مشترک'!$B$18-'مفروضات مشترک'!$B$23-1,18&lt;='مفروضات مشترک'!$B$18-1),'مفروضات مشترک'!$B$22/'مفروضات مشترک'!$B$23,0))</f>
        <v>1160.32</v>
      </c>
      <c r="T23" s="19" t="n">
        <f aca="false">('مفروضات مشترک'!$B$52*T6)*(IF(AND(19&gt;'مفروضات مشترک'!$B$16-'مفروضات مشترک'!$B$23-1,19&lt;='مفروضات مشترک'!$B$16-1),'مفروضات مشترک'!$B$20/'مفروضات مشترک'!$B$23,0)+IF(AND(19&gt;'مفروضات مشترک'!$B$17-'مفروضات مشترک'!$B$23-1,19&lt;='مفروضات مشترک'!$B$17-1),'مفروضات مشترک'!$B$21/'مفروضات مشترک'!$B$23,0)+IF(AND(19&gt;'مفروضات مشترک'!$B$18-'مفروضات مشترک'!$B$23-1,19&lt;='مفروضات مشترک'!$B$18-1),'مفروضات مشترک'!$B$22/'مفروضات مشترک'!$B$23,0))</f>
        <v>0</v>
      </c>
      <c r="U23" s="19" t="n">
        <f aca="false">('مفروضات مشترک'!$B$52*U6)*(IF(AND(20&gt;'مفروضات مشترک'!$B$16-'مفروضات مشترک'!$B$23-1,20&lt;='مفروضات مشترک'!$B$16-1),'مفروضات مشترک'!$B$20/'مفروضات مشترک'!$B$23,0)+IF(AND(20&gt;'مفروضات مشترک'!$B$17-'مفروضات مشترک'!$B$23-1,20&lt;='مفروضات مشترک'!$B$17-1),'مفروضات مشترک'!$B$21/'مفروضات مشترک'!$B$23,0)+IF(AND(20&gt;'مفروضات مشترک'!$B$18-'مفروضات مشترک'!$B$23-1,20&lt;='مفروضات مشترک'!$B$18-1),'مفروضات مشترک'!$B$22/'مفروضات مشترک'!$B$23,0))</f>
        <v>0</v>
      </c>
      <c r="V23" s="19" t="n">
        <f aca="false">('مفروضات مشترک'!$B$52*V6)*(IF(AND(21&gt;'مفروضات مشترک'!$B$16-'مفروضات مشترک'!$B$23-1,21&lt;='مفروضات مشترک'!$B$16-1),'مفروضات مشترک'!$B$20/'مفروضات مشترک'!$B$23,0)+IF(AND(21&gt;'مفروضات مشترک'!$B$17-'مفروضات مشترک'!$B$23-1,21&lt;='مفروضات مشترک'!$B$17-1),'مفروضات مشترک'!$B$21/'مفروضات مشترک'!$B$23,0)+IF(AND(21&gt;'مفروضات مشترک'!$B$18-'مفروضات مشترک'!$B$23-1,21&lt;='مفروضات مشترک'!$B$18-1),'مفروضات مشترک'!$B$22/'مفروضات مشترک'!$B$23,0))</f>
        <v>0</v>
      </c>
      <c r="W23" s="19" t="n">
        <f aca="false">('مفروضات مشترک'!$B$52*W6)*(IF(AND(22&gt;'مفروضات مشترک'!$B$16-'مفروضات مشترک'!$B$23-1,22&lt;='مفروضات مشترک'!$B$16-1),'مفروضات مشترک'!$B$20/'مفروضات مشترک'!$B$23,0)+IF(AND(22&gt;'مفروضات مشترک'!$B$17-'مفروضات مشترک'!$B$23-1,22&lt;='مفروضات مشترک'!$B$17-1),'مفروضات مشترک'!$B$21/'مفروضات مشترک'!$B$23,0)+IF(AND(22&gt;'مفروضات مشترک'!$B$18-'مفروضات مشترک'!$B$23-1,22&lt;='مفروضات مشترک'!$B$18-1),'مفروضات مشترک'!$B$22/'مفروضات مشترک'!$B$23,0))</f>
        <v>0</v>
      </c>
      <c r="X23" s="19" t="n">
        <f aca="false">('مفروضات مشترک'!$B$52*X6)*(IF(AND(23&gt;'مفروضات مشترک'!$B$16-'مفروضات مشترک'!$B$23-1,23&lt;='مفروضات مشترک'!$B$16-1),'مفروضات مشترک'!$B$20/'مفروضات مشترک'!$B$23,0)+IF(AND(23&gt;'مفروضات مشترک'!$B$17-'مفروضات مشترک'!$B$23-1,23&lt;='مفروضات مشترک'!$B$17-1),'مفروضات مشترک'!$B$21/'مفروضات مشترک'!$B$23,0)+IF(AND(23&gt;'مفروضات مشترک'!$B$18-'مفروضات مشترک'!$B$23-1,23&lt;='مفروضات مشترک'!$B$18-1),'مفروضات مشترک'!$B$22/'مفروضات مشترک'!$B$23,0))</f>
        <v>0</v>
      </c>
      <c r="Y23" s="19" t="n">
        <f aca="false">('مفروضات مشترک'!$B$52*Y6)*(IF(AND(24&gt;'مفروضات مشترک'!$B$16-'مفروضات مشترک'!$B$23-1,24&lt;='مفروضات مشترک'!$B$16-1),'مفروضات مشترک'!$B$20/'مفروضات مشترک'!$B$23,0)+IF(AND(24&gt;'مفروضات مشترک'!$B$17-'مفروضات مشترک'!$B$23-1,24&lt;='مفروضات مشترک'!$B$17-1),'مفروضات مشترک'!$B$21/'مفروضات مشترک'!$B$23,0)+IF(AND(24&gt;'مفروضات مشترک'!$B$18-'مفروضات مشترک'!$B$23-1,24&lt;='مفروضات مشترک'!$B$18-1),'مفروضات مشترک'!$B$22/'مفروضات مشترک'!$B$23,0))</f>
        <v>0</v>
      </c>
    </row>
    <row r="24" customFormat="false" ht="15" hidden="false" customHeight="false" outlineLevel="0" collapsed="false">
      <c r="A24" s="4" t="s">
        <v>363</v>
      </c>
      <c r="B24" s="19" t="n">
        <f aca="false">B16*'اقتصاد واحد'!$D$28*B6</f>
        <v>0</v>
      </c>
      <c r="C24" s="19" t="n">
        <f aca="false">C16*'اقتصاد واحد'!$D$28*C6</f>
        <v>0</v>
      </c>
      <c r="D24" s="19" t="n">
        <f aca="false">D16*'اقتصاد واحد'!$D$28*D6</f>
        <v>0</v>
      </c>
      <c r="E24" s="19" t="n">
        <f aca="false">E16*'اقتصاد واحد'!$D$28*E6</f>
        <v>0</v>
      </c>
      <c r="F24" s="19" t="n">
        <f aca="false">F16*'اقتصاد واحد'!$D$28*F6</f>
        <v>0</v>
      </c>
      <c r="G24" s="19" t="n">
        <f aca="false">G16*'اقتصاد واحد'!$D$28*G6</f>
        <v>0</v>
      </c>
      <c r="H24" s="19" t="n">
        <f aca="false">H16*'اقتصاد واحد'!$D$28*H6</f>
        <v>0</v>
      </c>
      <c r="I24" s="19" t="n">
        <f aca="false">I16*'اقتصاد واحد'!$D$28*I6</f>
        <v>0</v>
      </c>
      <c r="J24" s="19" t="n">
        <f aca="false">J16*'اقتصاد واحد'!$D$28*J6</f>
        <v>80.6060606060606</v>
      </c>
      <c r="K24" s="19" t="n">
        <f aca="false">K16*'اقتصاد واحد'!$D$28*K6</f>
        <v>80.6060606060606</v>
      </c>
      <c r="L24" s="19" t="n">
        <f aca="false">L16*'اقتصاد واحد'!$D$28*L6</f>
        <v>80.6060606060606</v>
      </c>
      <c r="M24" s="19" t="n">
        <f aca="false">M16*'اقتصاد واحد'!$D$28*M6</f>
        <v>80.6060606060606</v>
      </c>
      <c r="N24" s="19" t="n">
        <f aca="false">N16*'اقتصاد واحد'!$D$28*N6</f>
        <v>112.848484848485</v>
      </c>
      <c r="O24" s="19" t="n">
        <f aca="false">O16*'اقتصاد واحد'!$D$28*O6</f>
        <v>112.848484848485</v>
      </c>
      <c r="P24" s="19" t="n">
        <f aca="false">P16*'اقتصاد واحد'!$D$28*P6</f>
        <v>112.848484848485</v>
      </c>
      <c r="Q24" s="19" t="n">
        <f aca="false">Q16*'اقتصاد واحد'!$D$28*Q6</f>
        <v>112.848484848485</v>
      </c>
      <c r="R24" s="19" t="n">
        <f aca="false">R16*'اقتصاد واحد'!$D$28*R6</f>
        <v>112.848484848485</v>
      </c>
      <c r="S24" s="19" t="n">
        <f aca="false">S16*'اقتصاد واحد'!$D$28*S6</f>
        <v>112.848484848485</v>
      </c>
      <c r="T24" s="19" t="n">
        <f aca="false">T16*'اقتصاد واحد'!$D$28*T6</f>
        <v>112.848484848485</v>
      </c>
      <c r="U24" s="19" t="n">
        <f aca="false">U16*'اقتصاد واحد'!$D$28*U6</f>
        <v>112.848484848485</v>
      </c>
      <c r="V24" s="19" t="n">
        <f aca="false">V16*'اقتصاد واحد'!$D$28*V6</f>
        <v>112.848484848485</v>
      </c>
      <c r="W24" s="19" t="n">
        <f aca="false">W16*'اقتصاد واحد'!$D$28*W6</f>
        <v>112.848484848485</v>
      </c>
      <c r="X24" s="19" t="n">
        <f aca="false">X16*'اقتصاد واحد'!$D$28*X6</f>
        <v>112.848484848485</v>
      </c>
      <c r="Y24" s="19" t="n">
        <f aca="false">Y16*'اقتصاد واحد'!$D$28*Y6</f>
        <v>112.848484848485</v>
      </c>
    </row>
    <row r="25" customFormat="false" ht="15" hidden="false" customHeight="false" outlineLevel="0" collapsed="false">
      <c r="A25" s="4" t="s">
        <v>364</v>
      </c>
      <c r="B25" s="19" t="n">
        <f aca="false">B17*'اقتصاد واحد'!$D$18*B6*MAX(0.5,B8)</f>
        <v>0</v>
      </c>
      <c r="C25" s="19" t="n">
        <f aca="false">C17*'اقتصاد واحد'!$D$18*C6*MAX(0.5,C8)</f>
        <v>0</v>
      </c>
      <c r="D25" s="19" t="n">
        <f aca="false">D17*'اقتصاد واحد'!$D$18*D6*MAX(0.5,D8)</f>
        <v>0</v>
      </c>
      <c r="E25" s="19" t="n">
        <f aca="false">E17*'اقتصاد واحد'!$D$18*E6*MAX(0.5,E8)</f>
        <v>0</v>
      </c>
      <c r="F25" s="19" t="n">
        <f aca="false">F17*'اقتصاد واحد'!$D$18*F6*MAX(0.5,F8)</f>
        <v>0</v>
      </c>
      <c r="G25" s="19" t="n">
        <f aca="false">G17*'اقتصاد واحد'!$D$18*G6*MAX(0.5,G8)</f>
        <v>0</v>
      </c>
      <c r="H25" s="19" t="n">
        <f aca="false">H17*'اقتصاد واحد'!$D$18*H6*MAX(0.5,H8)</f>
        <v>0</v>
      </c>
      <c r="I25" s="19" t="n">
        <f aca="false">I17*'اقتصاد واحد'!$D$18*I6*MAX(0.5,I8)</f>
        <v>0</v>
      </c>
      <c r="J25" s="19" t="n">
        <f aca="false">J17*'اقتصاد واحد'!$D$18*J6*MAX(0.5,J8)</f>
        <v>10.4343765333333</v>
      </c>
      <c r="K25" s="19" t="n">
        <f aca="false">K17*'اقتصاد واحد'!$D$18*K6*MAX(0.5,K8)</f>
        <v>20.73832336</v>
      </c>
      <c r="L25" s="19" t="n">
        <f aca="false">L17*'اقتصاد واحد'!$D$18*L6*MAX(0.5,L8)</f>
        <v>46.370206277</v>
      </c>
      <c r="M25" s="19" t="n">
        <f aca="false">M17*'اقتصاد واحد'!$D$18*M6*MAX(0.5,M8)</f>
        <v>61.4421434985375</v>
      </c>
      <c r="N25" s="19" t="n">
        <f aca="false">N17*'اقتصاد واحد'!$D$18*N6*MAX(0.5,N8)</f>
        <v>106.855954106728</v>
      </c>
      <c r="O25" s="19" t="n">
        <f aca="false">O17*'اقتصاد واحد'!$D$18*O6*MAX(0.5,O8)</f>
        <v>127.432445400394</v>
      </c>
      <c r="P25" s="19" t="n">
        <f aca="false">P17*'اقتصاد واحد'!$D$18*P6*MAX(0.5,P8)</f>
        <v>147.751730552889</v>
      </c>
      <c r="Q25" s="19" t="n">
        <f aca="false">Q17*'اقتصاد واحد'!$D$18*Q6*MAX(0.5,Q8)</f>
        <v>167.817024640978</v>
      </c>
      <c r="R25" s="19" t="n">
        <f aca="false">R17*'اقتصاد واحد'!$D$18*R6*MAX(0.5,R8)</f>
        <v>187.631502552966</v>
      </c>
      <c r="S25" s="19" t="n">
        <f aca="false">S17*'اقتصاد واحد'!$D$18*S6*MAX(0.5,S8)</f>
        <v>207.198299491054</v>
      </c>
      <c r="T25" s="19" t="n">
        <f aca="false">T17*'اقتصاد واحد'!$D$18*T6*MAX(0.5,T8)</f>
        <v>302.027348623221</v>
      </c>
      <c r="U25" s="19" t="n">
        <f aca="false">U17*'اقتصاد واحد'!$D$18*U6*MAX(0.5,U8)</f>
        <v>327.468261058764</v>
      </c>
      <c r="V25" s="19" t="n">
        <f aca="false">V17*'اقتصاد واحد'!$D$18*V6*MAX(0.5,V8)</f>
        <v>352.591162088863</v>
      </c>
      <c r="W25" s="19" t="n">
        <f aca="false">W17*'اقتصاد واحد'!$D$18*W6*MAX(0.5,W8)</f>
        <v>377.400026856085</v>
      </c>
      <c r="X25" s="19" t="n">
        <f aca="false">X17*'اقتصاد واحد'!$D$18*X6*MAX(0.5,X8)</f>
        <v>401.898780813717</v>
      </c>
      <c r="Y25" s="19" t="n">
        <f aca="false">Y17*'اقتصاد واحد'!$D$18*Y6*MAX(0.5,Y8)</f>
        <v>426.091300346879</v>
      </c>
    </row>
    <row r="26" customFormat="false" ht="15" hidden="false" customHeight="false" outlineLevel="0" collapsed="false">
      <c r="A26" s="4" t="s">
        <v>365</v>
      </c>
      <c r="B26" s="19" t="n">
        <f aca="false">B16*'مفروضات مشترک'!$B$39*B6</f>
        <v>0</v>
      </c>
      <c r="C26" s="19" t="n">
        <f aca="false">C16*'مفروضات مشترک'!$B$39*C6</f>
        <v>0</v>
      </c>
      <c r="D26" s="19" t="n">
        <f aca="false">D16*'مفروضات مشترک'!$B$39*D6</f>
        <v>0</v>
      </c>
      <c r="E26" s="19" t="n">
        <f aca="false">E16*'مفروضات مشترک'!$B$39*E6</f>
        <v>0</v>
      </c>
      <c r="F26" s="19" t="n">
        <f aca="false">F16*'مفروضات مشترک'!$B$39*F6</f>
        <v>0</v>
      </c>
      <c r="G26" s="19" t="n">
        <f aca="false">G16*'مفروضات مشترک'!$B$39*G6</f>
        <v>0</v>
      </c>
      <c r="H26" s="19" t="n">
        <f aca="false">H16*'مفروضات مشترک'!$B$39*H6</f>
        <v>0</v>
      </c>
      <c r="I26" s="19" t="n">
        <f aca="false">I16*'مفروضات مشترک'!$B$39*I6</f>
        <v>0</v>
      </c>
      <c r="J26" s="19" t="n">
        <f aca="false">J16*'مفروضات مشترک'!$B$39*J6</f>
        <v>30</v>
      </c>
      <c r="K26" s="19" t="n">
        <f aca="false">K16*'مفروضات مشترک'!$B$39*K6</f>
        <v>30</v>
      </c>
      <c r="L26" s="19" t="n">
        <f aca="false">L16*'مفروضات مشترک'!$B$39*L6</f>
        <v>30</v>
      </c>
      <c r="M26" s="19" t="n">
        <f aca="false">M16*'مفروضات مشترک'!$B$39*M6</f>
        <v>30</v>
      </c>
      <c r="N26" s="19" t="n">
        <f aca="false">N16*'مفروضات مشترک'!$B$39*N6</f>
        <v>42</v>
      </c>
      <c r="O26" s="19" t="n">
        <f aca="false">O16*'مفروضات مشترک'!$B$39*O6</f>
        <v>42</v>
      </c>
      <c r="P26" s="19" t="n">
        <f aca="false">P16*'مفروضات مشترک'!$B$39*P6</f>
        <v>42</v>
      </c>
      <c r="Q26" s="19" t="n">
        <f aca="false">Q16*'مفروضات مشترک'!$B$39*Q6</f>
        <v>42</v>
      </c>
      <c r="R26" s="19" t="n">
        <f aca="false">R16*'مفروضات مشترک'!$B$39*R6</f>
        <v>42</v>
      </c>
      <c r="S26" s="19" t="n">
        <f aca="false">S16*'مفروضات مشترک'!$B$39*S6</f>
        <v>42</v>
      </c>
      <c r="T26" s="19" t="n">
        <f aca="false">T16*'مفروضات مشترک'!$B$39*T6</f>
        <v>42</v>
      </c>
      <c r="U26" s="19" t="n">
        <f aca="false">U16*'مفروضات مشترک'!$B$39*U6</f>
        <v>42</v>
      </c>
      <c r="V26" s="19" t="n">
        <f aca="false">V16*'مفروضات مشترک'!$B$39*V6</f>
        <v>42</v>
      </c>
      <c r="W26" s="19" t="n">
        <f aca="false">W16*'مفروضات مشترک'!$B$39*W6</f>
        <v>42</v>
      </c>
      <c r="X26" s="19" t="n">
        <f aca="false">X16*'مفروضات مشترک'!$B$39*X6</f>
        <v>42</v>
      </c>
      <c r="Y26" s="19" t="n">
        <f aca="false">Y16*'مفروضات مشترک'!$B$39*Y6</f>
        <v>42</v>
      </c>
    </row>
    <row r="27" customFormat="false" ht="15" hidden="false" customHeight="false" outlineLevel="0" collapsed="false">
      <c r="A27" s="4" t="s">
        <v>366</v>
      </c>
      <c r="B27" s="19" t="n">
        <f aca="false">IF(1&gt;='مفروضات مشترک'!$B$16,سناریوها!$D$18*'مفروضات مشترک'!$B$53*B6*MAX(0.6,B8),0)</f>
        <v>0</v>
      </c>
      <c r="C27" s="19" t="n">
        <f aca="false">IF(2&gt;='مفروضات مشترک'!$B$16,سناریوها!$D$18*'مفروضات مشترک'!$B$53*C6*MAX(0.6,C8),0)</f>
        <v>0</v>
      </c>
      <c r="D27" s="19" t="n">
        <f aca="false">IF(3&gt;='مفروضات مشترک'!$B$16,سناریوها!$D$18*'مفروضات مشترک'!$B$53*D6*MAX(0.6,D8),0)</f>
        <v>0</v>
      </c>
      <c r="E27" s="19" t="n">
        <f aca="false">IF(4&gt;='مفروضات مشترک'!$B$16,سناریوها!$D$18*'مفروضات مشترک'!$B$53*E6*MAX(0.6,E8),0)</f>
        <v>0</v>
      </c>
      <c r="F27" s="19" t="n">
        <f aca="false">IF(5&gt;='مفروضات مشترک'!$B$16,سناریوها!$D$18*'مفروضات مشترک'!$B$53*F6*MAX(0.6,F8),0)</f>
        <v>0</v>
      </c>
      <c r="G27" s="19" t="n">
        <f aca="false">IF(6&gt;='مفروضات مشترک'!$B$16,سناریوها!$D$18*'مفروضات مشترک'!$B$53*G6*MAX(0.6,G8),0)</f>
        <v>319.2</v>
      </c>
      <c r="H27" s="19" t="n">
        <f aca="false">IF(7&gt;='مفروضات مشترک'!$B$16,سناریوها!$D$18*'مفروضات مشترک'!$B$53*H6*MAX(0.6,H8),0)</f>
        <v>319.2</v>
      </c>
      <c r="I27" s="19" t="n">
        <f aca="false">IF(8&gt;='مفروضات مشترک'!$B$16,سناریوها!$D$18*'مفروضات مشترک'!$B$53*I6*MAX(0.6,I8),0)</f>
        <v>319.2</v>
      </c>
      <c r="J27" s="19" t="n">
        <f aca="false">IF(9&gt;='مفروضات مشترک'!$B$16,سناریوها!$D$18*'مفروضات مشترک'!$B$53*J6*MAX(0.6,J8),0)</f>
        <v>319.2</v>
      </c>
      <c r="K27" s="19" t="n">
        <f aca="false">IF(10&gt;='مفروضات مشترک'!$B$16,سناریوها!$D$18*'مفروضات مشترک'!$B$53*K6*MAX(0.6,K8),0)</f>
        <v>319.2</v>
      </c>
      <c r="L27" s="19" t="n">
        <f aca="false">IF(11&gt;='مفروضات مشترک'!$B$16,سناریوها!$D$18*'مفروضات مشترک'!$B$53*L6*MAX(0.6,L8),0)</f>
        <v>399</v>
      </c>
      <c r="M27" s="19" t="n">
        <f aca="false">IF(12&gt;='مفروضات مشترک'!$B$16,سناریوها!$D$18*'مفروضات مشترک'!$B$53*M6*MAX(0.6,M8),0)</f>
        <v>399</v>
      </c>
      <c r="N27" s="19" t="n">
        <f aca="false">IF(13&gt;='مفروضات مشترک'!$B$16,سناریوها!$D$18*'مفروضات مشترک'!$B$53*N6*MAX(0.6,N8),0)</f>
        <v>558.6</v>
      </c>
      <c r="O27" s="19" t="n">
        <f aca="false">IF(14&gt;='مفروضات مشترک'!$B$16,سناریوها!$D$18*'مفروضات مشترک'!$B$53*O6*MAX(0.6,O8),0)</f>
        <v>558.6</v>
      </c>
      <c r="P27" s="19" t="n">
        <f aca="false">IF(15&gt;='مفروضات مشترک'!$B$16,سناریوها!$D$18*'مفروضات مشترک'!$B$53*P6*MAX(0.6,P8),0)</f>
        <v>558.6</v>
      </c>
      <c r="Q27" s="19" t="n">
        <f aca="false">IF(16&gt;='مفروضات مشترک'!$B$16,سناریوها!$D$18*'مفروضات مشترک'!$B$53*Q6*MAX(0.6,Q8),0)</f>
        <v>558.6</v>
      </c>
      <c r="R27" s="19" t="n">
        <f aca="false">IF(17&gt;='مفروضات مشترک'!$B$16,سناریوها!$D$18*'مفروضات مشترک'!$B$53*R6*MAX(0.6,R8),0)</f>
        <v>558.6</v>
      </c>
      <c r="S27" s="19" t="n">
        <f aca="false">IF(18&gt;='مفروضات مشترک'!$B$16,سناریوها!$D$18*'مفروضات مشترک'!$B$53*S6*MAX(0.6,S8),0)</f>
        <v>558.6</v>
      </c>
      <c r="T27" s="19" t="n">
        <f aca="false">IF(19&gt;='مفروضات مشترک'!$B$16,سناریوها!$D$18*'مفروضات مشترک'!$B$53*T6*MAX(0.6,T8),0)</f>
        <v>744.8</v>
      </c>
      <c r="U27" s="19" t="n">
        <f aca="false">IF(20&gt;='مفروضات مشترک'!$B$16,سناریوها!$D$18*'مفروضات مشترک'!$B$53*U6*MAX(0.6,U8),0)</f>
        <v>744.8</v>
      </c>
      <c r="V27" s="19" t="n">
        <f aca="false">IF(21&gt;='مفروضات مشترک'!$B$16,سناریوها!$D$18*'مفروضات مشترک'!$B$53*V6*MAX(0.6,V8),0)</f>
        <v>744.8</v>
      </c>
      <c r="W27" s="19" t="n">
        <f aca="false">IF(22&gt;='مفروضات مشترک'!$B$16,سناریوها!$D$18*'مفروضات مشترک'!$B$53*W6*MAX(0.6,W8),0)</f>
        <v>744.8</v>
      </c>
      <c r="X27" s="19" t="n">
        <f aca="false">IF(23&gt;='مفروضات مشترک'!$B$16,سناریوها!$D$18*'مفروضات مشترک'!$B$53*X6*MAX(0.6,X8),0)</f>
        <v>744.8</v>
      </c>
      <c r="Y27" s="19" t="n">
        <f aca="false">IF(24&gt;='مفروضات مشترک'!$B$16,سناریوها!$D$18*'مفروضات مشترک'!$B$53*Y6*MAX(0.6,Y8),0)</f>
        <v>744.8</v>
      </c>
    </row>
    <row r="28" customFormat="false" ht="15" hidden="false" customHeight="false" outlineLevel="0" collapsed="false">
      <c r="A28" s="17" t="s">
        <v>367</v>
      </c>
      <c r="B28" s="13" t="n">
        <f aca="false">SUM(B23:B27)</f>
        <v>414.4</v>
      </c>
      <c r="C28" s="13" t="n">
        <f aca="false">SUM(C23:C27)</f>
        <v>414.4</v>
      </c>
      <c r="D28" s="13" t="n">
        <f aca="false">SUM(D23:D27)</f>
        <v>414.4</v>
      </c>
      <c r="E28" s="13" t="n">
        <f aca="false">SUM(E23:E27)</f>
        <v>414.4</v>
      </c>
      <c r="F28" s="13" t="n">
        <f aca="false">SUM(F23:F27)</f>
        <v>414.4</v>
      </c>
      <c r="G28" s="13" t="n">
        <f aca="false">SUM(G23:G27)</f>
        <v>1065.12</v>
      </c>
      <c r="H28" s="13" t="n">
        <f aca="false">SUM(H23:H27)</f>
        <v>1065.12</v>
      </c>
      <c r="I28" s="13" t="n">
        <f aca="false">SUM(I23:I27)</f>
        <v>1065.12</v>
      </c>
      <c r="J28" s="13" t="n">
        <f aca="false">SUM(J23:J27)</f>
        <v>1186.16043713939</v>
      </c>
      <c r="K28" s="13" t="n">
        <f aca="false">SUM(K23:K27)</f>
        <v>1196.46438396606</v>
      </c>
      <c r="L28" s="13" t="n">
        <f aca="false">SUM(L23:L27)</f>
        <v>555.976266883061</v>
      </c>
      <c r="M28" s="13" t="n">
        <f aca="false">SUM(M23:M27)</f>
        <v>571.048204104598</v>
      </c>
      <c r="N28" s="13" t="n">
        <f aca="false">SUM(N23:N27)</f>
        <v>820.304438955213</v>
      </c>
      <c r="O28" s="13" t="n">
        <f aca="false">SUM(O23:O27)</f>
        <v>2001.20093024888</v>
      </c>
      <c r="P28" s="13" t="n">
        <f aca="false">SUM(P23:P27)</f>
        <v>2021.52021540137</v>
      </c>
      <c r="Q28" s="13" t="n">
        <f aca="false">SUM(Q23:Q27)</f>
        <v>2041.58550948946</v>
      </c>
      <c r="R28" s="13" t="n">
        <f aca="false">SUM(R23:R27)</f>
        <v>2061.39998740145</v>
      </c>
      <c r="S28" s="13" t="n">
        <f aca="false">SUM(S23:S27)</f>
        <v>2080.96678433954</v>
      </c>
      <c r="T28" s="13" t="n">
        <f aca="false">SUM(T23:T27)</f>
        <v>1201.67583347171</v>
      </c>
      <c r="U28" s="13" t="n">
        <f aca="false">SUM(U23:U27)</f>
        <v>1227.11674590725</v>
      </c>
      <c r="V28" s="13" t="n">
        <f aca="false">SUM(V23:V27)</f>
        <v>1252.23964693735</v>
      </c>
      <c r="W28" s="13" t="n">
        <f aca="false">SUM(W23:W27)</f>
        <v>1277.04851170457</v>
      </c>
      <c r="X28" s="13" t="n">
        <f aca="false">SUM(X23:X27)</f>
        <v>1301.5472656622</v>
      </c>
      <c r="Y28" s="13" t="n">
        <f aca="false">SUM(Y23:Y27)</f>
        <v>1325.73978519536</v>
      </c>
    </row>
    <row r="29" customFormat="false" ht="15" hidden="false" customHeight="false" outlineLevel="0" collapsed="false">
      <c r="A29" s="27" t="s">
        <v>368</v>
      </c>
      <c r="B29" s="28"/>
      <c r="C29" s="28"/>
      <c r="D29" s="28"/>
      <c r="E29" s="28"/>
      <c r="F29" s="28"/>
      <c r="G29" s="28"/>
      <c r="H29" s="28"/>
      <c r="I29" s="28"/>
      <c r="J29" s="28"/>
      <c r="K29" s="28"/>
      <c r="L29" s="28"/>
      <c r="M29" s="28"/>
      <c r="N29" s="28"/>
      <c r="O29" s="28"/>
      <c r="P29" s="28"/>
      <c r="Q29" s="28"/>
      <c r="R29" s="28"/>
      <c r="S29" s="28"/>
      <c r="T29" s="28"/>
      <c r="U29" s="28"/>
      <c r="V29" s="28"/>
      <c r="W29" s="28"/>
      <c r="X29" s="28"/>
      <c r="Y29" s="28"/>
    </row>
    <row r="30" customFormat="false" ht="15" hidden="false" customHeight="false" outlineLevel="0" collapsed="false">
      <c r="A30" s="4" t="s">
        <v>369</v>
      </c>
      <c r="B30" s="19" t="n">
        <f aca="false">B21-B25-B24</f>
        <v>0</v>
      </c>
      <c r="C30" s="19" t="n">
        <f aca="false">C21-C25-C24</f>
        <v>0</v>
      </c>
      <c r="D30" s="19" t="n">
        <f aca="false">D21-D25-D24</f>
        <v>0</v>
      </c>
      <c r="E30" s="19" t="n">
        <f aca="false">E21-E25-E24</f>
        <v>0</v>
      </c>
      <c r="F30" s="19" t="n">
        <f aca="false">F21-F25-F24</f>
        <v>0</v>
      </c>
      <c r="G30" s="19" t="n">
        <f aca="false">G21-G25-G24</f>
        <v>0</v>
      </c>
      <c r="H30" s="19" t="n">
        <f aca="false">H21-H25-H24</f>
        <v>0</v>
      </c>
      <c r="I30" s="19" t="n">
        <f aca="false">I21-I25-I24</f>
        <v>0</v>
      </c>
      <c r="J30" s="19" t="n">
        <f aca="false">J21-J25-J24</f>
        <v>47.586922860606</v>
      </c>
      <c r="K30" s="19" t="n">
        <f aca="false">K21-K25-K24</f>
        <v>63.0837440339394</v>
      </c>
      <c r="L30" s="19" t="n">
        <f aca="false">L21-L25-L24</f>
        <v>179.039699116939</v>
      </c>
      <c r="M30" s="19" t="n">
        <f aca="false">M21-M25-M24</f>
        <v>226.867212320402</v>
      </c>
      <c r="N30" s="19" t="n">
        <f aca="false">N21-N25-N24</f>
        <v>351.408487473373</v>
      </c>
      <c r="O30" s="19" t="n">
        <f aca="false">O21-O25-O24</f>
        <v>412.10324584935</v>
      </c>
      <c r="P30" s="19" t="n">
        <f aca="false">P21-P25-P24</f>
        <v>472.039319745627</v>
      </c>
      <c r="Q30" s="19" t="n">
        <f aca="false">Q21-Q25-Q24</f>
        <v>531.2261927182</v>
      </c>
      <c r="R30" s="19" t="n">
        <f aca="false">R21-R25-R24</f>
        <v>589.673229778617</v>
      </c>
      <c r="S30" s="19" t="n">
        <f aca="false">S21-S25-S24</f>
        <v>647.389678875778</v>
      </c>
      <c r="T30" s="19" t="n">
        <f aca="false">T21-T25-T24</f>
        <v>927.108224761795</v>
      </c>
      <c r="U30" s="19" t="n">
        <f aca="false">U21-U25-U24</f>
        <v>1002.15163284833</v>
      </c>
      <c r="V30" s="19" t="n">
        <f aca="false">V21-V25-V24</f>
        <v>1076.25699833379</v>
      </c>
      <c r="W30" s="19" t="n">
        <f aca="false">W21-W25-W24</f>
        <v>1149.43604675068</v>
      </c>
      <c r="X30" s="19" t="n">
        <f aca="false">X21-X25-X24</f>
        <v>1221.70035706236</v>
      </c>
      <c r="Y30" s="19" t="n">
        <f aca="false">Y21-Y25-Y24</f>
        <v>1293.06136349514</v>
      </c>
    </row>
    <row r="31" customFormat="false" ht="15" hidden="false" customHeight="false" outlineLevel="0" collapsed="false">
      <c r="A31" s="17" t="s">
        <v>370</v>
      </c>
      <c r="B31" s="13" t="n">
        <f aca="false">B21-B28</f>
        <v>-414.4</v>
      </c>
      <c r="C31" s="13" t="n">
        <f aca="false">C21-C28</f>
        <v>-414.4</v>
      </c>
      <c r="D31" s="13" t="n">
        <f aca="false">D21-D28</f>
        <v>-414.4</v>
      </c>
      <c r="E31" s="13" t="n">
        <f aca="false">E21-E28</f>
        <v>-414.4</v>
      </c>
      <c r="F31" s="13" t="n">
        <f aca="false">F21-F28</f>
        <v>-414.4</v>
      </c>
      <c r="G31" s="13" t="n">
        <f aca="false">G21-G28</f>
        <v>-1065.12</v>
      </c>
      <c r="H31" s="13" t="n">
        <f aca="false">H21-H28</f>
        <v>-1065.12</v>
      </c>
      <c r="I31" s="13" t="n">
        <f aca="false">I21-I28</f>
        <v>-1065.12</v>
      </c>
      <c r="J31" s="13" t="n">
        <f aca="false">J21-J28</f>
        <v>-1047.53307713939</v>
      </c>
      <c r="K31" s="13" t="n">
        <f aca="false">K21-K28</f>
        <v>-1032.03625596606</v>
      </c>
      <c r="L31" s="13" t="n">
        <f aca="false">L21-L28</f>
        <v>-249.960300883061</v>
      </c>
      <c r="M31" s="13" t="n">
        <f aca="false">M21-M28</f>
        <v>-202.132787679598</v>
      </c>
      <c r="N31" s="13" t="n">
        <f aca="false">N21-N28</f>
        <v>-249.191512526627</v>
      </c>
      <c r="O31" s="13" t="n">
        <f aca="false">O21-O28</f>
        <v>-1348.81675415065</v>
      </c>
      <c r="P31" s="13" t="n">
        <f aca="false">P21-P28</f>
        <v>-1288.88068025437</v>
      </c>
      <c r="Q31" s="13" t="n">
        <f aca="false">Q21-Q28</f>
        <v>-1229.6938072818</v>
      </c>
      <c r="R31" s="13" t="n">
        <f aca="false">R21-R28</f>
        <v>-1171.24677022138</v>
      </c>
      <c r="S31" s="13" t="n">
        <f aca="false">S21-S28</f>
        <v>-1113.53032112422</v>
      </c>
      <c r="T31" s="13" t="n">
        <f aca="false">T21-T28</f>
        <v>140.308224761794</v>
      </c>
      <c r="U31" s="13" t="n">
        <f aca="false">U21-U28</f>
        <v>215.351632848333</v>
      </c>
      <c r="V31" s="13" t="n">
        <f aca="false">V21-V28</f>
        <v>289.456998333789</v>
      </c>
      <c r="W31" s="13" t="n">
        <f aca="false">W21-W28</f>
        <v>362.636046750677</v>
      </c>
      <c r="X31" s="13" t="n">
        <f aca="false">X21-X28</f>
        <v>434.900357062355</v>
      </c>
      <c r="Y31" s="13" t="n">
        <f aca="false">Y21-Y28</f>
        <v>506.261363495136</v>
      </c>
    </row>
    <row r="32" customFormat="false" ht="15" hidden="false" customHeight="false" outlineLevel="0" collapsed="false">
      <c r="A32" s="17" t="s">
        <v>371</v>
      </c>
      <c r="B32" s="13" t="n">
        <f aca="false">B31</f>
        <v>-414.4</v>
      </c>
      <c r="C32" s="13" t="n">
        <f aca="false">B32+C31</f>
        <v>-828.8</v>
      </c>
      <c r="D32" s="13" t="n">
        <f aca="false">C32+D31</f>
        <v>-1243.2</v>
      </c>
      <c r="E32" s="13" t="n">
        <f aca="false">D32+E31</f>
        <v>-1657.6</v>
      </c>
      <c r="F32" s="13" t="n">
        <f aca="false">E32+F31</f>
        <v>-2072</v>
      </c>
      <c r="G32" s="13" t="n">
        <f aca="false">F32+G31</f>
        <v>-3137.12</v>
      </c>
      <c r="H32" s="13" t="n">
        <f aca="false">G32+H31</f>
        <v>-4202.24</v>
      </c>
      <c r="I32" s="13" t="n">
        <f aca="false">H32+I31</f>
        <v>-5267.36</v>
      </c>
      <c r="J32" s="13" t="n">
        <f aca="false">I32+J31</f>
        <v>-6314.89307713939</v>
      </c>
      <c r="K32" s="13" t="n">
        <f aca="false">J32+K31</f>
        <v>-7346.92933310545</v>
      </c>
      <c r="L32" s="13" t="n">
        <f aca="false">K32+L31</f>
        <v>-7596.88963398852</v>
      </c>
      <c r="M32" s="13" t="n">
        <f aca="false">L32+M31</f>
        <v>-7799.02242166811</v>
      </c>
      <c r="N32" s="13" t="n">
        <f aca="false">M32+N31</f>
        <v>-8048.21393419474</v>
      </c>
      <c r="O32" s="13" t="n">
        <f aca="false">N32+O31</f>
        <v>-9397.03068834539</v>
      </c>
      <c r="P32" s="13" t="n">
        <f aca="false">O32+P31</f>
        <v>-10685.9113685998</v>
      </c>
      <c r="Q32" s="13" t="n">
        <f aca="false">P32+Q31</f>
        <v>-11915.6051758816</v>
      </c>
      <c r="R32" s="13" t="n">
        <f aca="false">Q32+R31</f>
        <v>-13086.8519461029</v>
      </c>
      <c r="S32" s="13" t="n">
        <f aca="false">R32+S31</f>
        <v>-14200.3822672272</v>
      </c>
      <c r="T32" s="13" t="n">
        <f aca="false">S32+T31</f>
        <v>-14060.0740424654</v>
      </c>
      <c r="U32" s="13" t="n">
        <f aca="false">T32+U31</f>
        <v>-13844.722409617</v>
      </c>
      <c r="V32" s="13" t="n">
        <f aca="false">U32+V31</f>
        <v>-13555.2654112833</v>
      </c>
      <c r="W32" s="13" t="n">
        <f aca="false">V32+W31</f>
        <v>-13192.6293645326</v>
      </c>
      <c r="X32" s="13" t="n">
        <f aca="false">W32+X31</f>
        <v>-12757.7290074702</v>
      </c>
      <c r="Y32" s="13" t="n">
        <f aca="false">X32+Y31</f>
        <v>-12251.4676439751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5" min="2" style="0" width="9"/>
  </cols>
  <sheetData>
    <row r="1" customFormat="false" ht="16.15" hidden="false" customHeight="false" outlineLevel="0" collapsed="false">
      <c r="A1" s="1" t="s">
        <v>373</v>
      </c>
    </row>
    <row r="2" customFormat="false" ht="15" hidden="false" customHeight="false" outlineLevel="0" collapsed="false">
      <c r="A2" s="2" t="s">
        <v>320</v>
      </c>
    </row>
    <row r="4" customFormat="false" ht="16.4" hidden="false" customHeight="false" outlineLevel="0" collapsed="false">
      <c r="A4" s="5" t="s">
        <v>106</v>
      </c>
      <c r="B4" s="5" t="s">
        <v>321</v>
      </c>
      <c r="C4" s="5" t="s">
        <v>322</v>
      </c>
      <c r="D4" s="5" t="s">
        <v>323</v>
      </c>
      <c r="E4" s="5" t="s">
        <v>324</v>
      </c>
      <c r="F4" s="5" t="s">
        <v>325</v>
      </c>
      <c r="G4" s="5" t="s">
        <v>326</v>
      </c>
      <c r="H4" s="5" t="s">
        <v>327</v>
      </c>
      <c r="I4" s="5" t="s">
        <v>328</v>
      </c>
      <c r="J4" s="5" t="s">
        <v>329</v>
      </c>
      <c r="K4" s="5" t="s">
        <v>330</v>
      </c>
      <c r="L4" s="5" t="s">
        <v>331</v>
      </c>
      <c r="M4" s="5" t="s">
        <v>332</v>
      </c>
      <c r="N4" s="5" t="s">
        <v>333</v>
      </c>
      <c r="O4" s="5" t="s">
        <v>334</v>
      </c>
      <c r="P4" s="5" t="s">
        <v>335</v>
      </c>
      <c r="Q4" s="5" t="s">
        <v>336</v>
      </c>
      <c r="R4" s="5" t="s">
        <v>337</v>
      </c>
      <c r="S4" s="5" t="s">
        <v>338</v>
      </c>
      <c r="T4" s="5" t="s">
        <v>339</v>
      </c>
      <c r="U4" s="5" t="s">
        <v>340</v>
      </c>
      <c r="V4" s="5" t="s">
        <v>341</v>
      </c>
      <c r="W4" s="5" t="s">
        <v>342</v>
      </c>
      <c r="X4" s="5" t="s">
        <v>343</v>
      </c>
      <c r="Y4" s="5" t="s">
        <v>344</v>
      </c>
    </row>
    <row r="5" customFormat="false" ht="15" hidden="false" customHeight="false" outlineLevel="0" collapsed="false">
      <c r="A5" s="27" t="s">
        <v>345</v>
      </c>
      <c r="B5" s="28"/>
      <c r="C5" s="28"/>
      <c r="D5" s="28"/>
      <c r="E5" s="28"/>
      <c r="F5" s="28"/>
      <c r="G5" s="28"/>
      <c r="H5" s="28"/>
      <c r="I5" s="28"/>
      <c r="J5" s="28"/>
      <c r="K5" s="28"/>
      <c r="L5" s="28"/>
      <c r="M5" s="28"/>
      <c r="N5" s="28"/>
      <c r="O5" s="28"/>
      <c r="P5" s="28"/>
      <c r="Q5" s="28"/>
      <c r="R5" s="28"/>
      <c r="S5" s="28"/>
      <c r="T5" s="28"/>
      <c r="U5" s="28"/>
      <c r="V5" s="28"/>
      <c r="W5" s="28"/>
      <c r="X5" s="28"/>
      <c r="Y5" s="28"/>
    </row>
    <row r="6" customFormat="false" ht="15" hidden="false" customHeight="false" outlineLevel="0" collapsed="false">
      <c r="A6" s="4" t="s">
        <v>346</v>
      </c>
      <c r="B6" s="20" t="n">
        <f aca="false">(1+'مفروضات مشترک'!$B$10)^INT((1-1)/12)</f>
        <v>1</v>
      </c>
      <c r="C6" s="20" t="n">
        <f aca="false">(1+'مفروضات مشترک'!$B$10)^INT((2-1)/12)</f>
        <v>1</v>
      </c>
      <c r="D6" s="20" t="n">
        <f aca="false">(1+'مفروضات مشترک'!$B$10)^INT((3-1)/12)</f>
        <v>1</v>
      </c>
      <c r="E6" s="20" t="n">
        <f aca="false">(1+'مفروضات مشترک'!$B$10)^INT((4-1)/12)</f>
        <v>1</v>
      </c>
      <c r="F6" s="20" t="n">
        <f aca="false">(1+'مفروضات مشترک'!$B$10)^INT((5-1)/12)</f>
        <v>1</v>
      </c>
      <c r="G6" s="20" t="n">
        <f aca="false">(1+'مفروضات مشترک'!$B$10)^INT((6-1)/12)</f>
        <v>1</v>
      </c>
      <c r="H6" s="20" t="n">
        <f aca="false">(1+'مفروضات مشترک'!$B$10)^INT((7-1)/12)</f>
        <v>1</v>
      </c>
      <c r="I6" s="20" t="n">
        <f aca="false">(1+'مفروضات مشترک'!$B$10)^INT((8-1)/12)</f>
        <v>1</v>
      </c>
      <c r="J6" s="20" t="n">
        <f aca="false">(1+'مفروضات مشترک'!$B$10)^INT((9-1)/12)</f>
        <v>1</v>
      </c>
      <c r="K6" s="20" t="n">
        <f aca="false">(1+'مفروضات مشترک'!$B$10)^INT((10-1)/12)</f>
        <v>1</v>
      </c>
      <c r="L6" s="20" t="n">
        <f aca="false">(1+'مفروضات مشترک'!$B$10)^INT((11-1)/12)</f>
        <v>1</v>
      </c>
      <c r="M6" s="20" t="n">
        <f aca="false">(1+'مفروضات مشترک'!$B$10)^INT((12-1)/12)</f>
        <v>1</v>
      </c>
      <c r="N6" s="20" t="n">
        <f aca="false">(1+'مفروضات مشترک'!$B$10)^INT((13-1)/12)</f>
        <v>1.4</v>
      </c>
      <c r="O6" s="20" t="n">
        <f aca="false">(1+'مفروضات مشترک'!$B$10)^INT((14-1)/12)</f>
        <v>1.4</v>
      </c>
      <c r="P6" s="20" t="n">
        <f aca="false">(1+'مفروضات مشترک'!$B$10)^INT((15-1)/12)</f>
        <v>1.4</v>
      </c>
      <c r="Q6" s="20" t="n">
        <f aca="false">(1+'مفروضات مشترک'!$B$10)^INT((16-1)/12)</f>
        <v>1.4</v>
      </c>
      <c r="R6" s="20" t="n">
        <f aca="false">(1+'مفروضات مشترک'!$B$10)^INT((17-1)/12)</f>
        <v>1.4</v>
      </c>
      <c r="S6" s="20" t="n">
        <f aca="false">(1+'مفروضات مشترک'!$B$10)^INT((18-1)/12)</f>
        <v>1.4</v>
      </c>
      <c r="T6" s="20" t="n">
        <f aca="false">(1+'مفروضات مشترک'!$B$10)^INT((19-1)/12)</f>
        <v>1.4</v>
      </c>
      <c r="U6" s="20" t="n">
        <f aca="false">(1+'مفروضات مشترک'!$B$10)^INT((20-1)/12)</f>
        <v>1.4</v>
      </c>
      <c r="V6" s="20" t="n">
        <f aca="false">(1+'مفروضات مشترک'!$B$10)^INT((21-1)/12)</f>
        <v>1.4</v>
      </c>
      <c r="W6" s="20" t="n">
        <f aca="false">(1+'مفروضات مشترک'!$B$10)^INT((22-1)/12)</f>
        <v>1.4</v>
      </c>
      <c r="X6" s="20" t="n">
        <f aca="false">(1+'مفروضات مشترک'!$B$10)^INT((23-1)/12)</f>
        <v>1.4</v>
      </c>
      <c r="Y6" s="20" t="n">
        <f aca="false">(1+'مفروضات مشترک'!$B$10)^INT((24-1)/12)</f>
        <v>1.4</v>
      </c>
    </row>
    <row r="7" customFormat="false" ht="15" hidden="false" customHeight="false" outlineLevel="0" collapsed="false">
      <c r="A7" s="4" t="s">
        <v>347</v>
      </c>
      <c r="B7" s="20" t="n">
        <f aca="false">(1+سناریوها!$E$10)^INT((1-1)/12)</f>
        <v>1</v>
      </c>
      <c r="C7" s="20" t="n">
        <f aca="false">(1+سناریوها!$E$10)^INT((2-1)/12)</f>
        <v>1</v>
      </c>
      <c r="D7" s="20" t="n">
        <f aca="false">(1+سناریوها!$E$10)^INT((3-1)/12)</f>
        <v>1</v>
      </c>
      <c r="E7" s="20" t="n">
        <f aca="false">(1+سناریوها!$E$10)^INT((4-1)/12)</f>
        <v>1</v>
      </c>
      <c r="F7" s="20" t="n">
        <f aca="false">(1+سناریوها!$E$10)^INT((5-1)/12)</f>
        <v>1</v>
      </c>
      <c r="G7" s="20" t="n">
        <f aca="false">(1+سناریوها!$E$10)^INT((6-1)/12)</f>
        <v>1</v>
      </c>
      <c r="H7" s="20" t="n">
        <f aca="false">(1+سناریوها!$E$10)^INT((7-1)/12)</f>
        <v>1</v>
      </c>
      <c r="I7" s="20" t="n">
        <f aca="false">(1+سناریوها!$E$10)^INT((8-1)/12)</f>
        <v>1</v>
      </c>
      <c r="J7" s="20" t="n">
        <f aca="false">(1+سناریوها!$E$10)^INT((9-1)/12)</f>
        <v>1</v>
      </c>
      <c r="K7" s="20" t="n">
        <f aca="false">(1+سناریوها!$E$10)^INT((10-1)/12)</f>
        <v>1</v>
      </c>
      <c r="L7" s="20" t="n">
        <f aca="false">(1+سناریوها!$E$10)^INT((11-1)/12)</f>
        <v>1</v>
      </c>
      <c r="M7" s="20" t="n">
        <f aca="false">(1+سناریوها!$E$10)^INT((12-1)/12)</f>
        <v>1</v>
      </c>
      <c r="N7" s="20" t="n">
        <f aca="false">(1+سناریوها!$E$10)^INT((13-1)/12)</f>
        <v>1.35</v>
      </c>
      <c r="O7" s="20" t="n">
        <f aca="false">(1+سناریوها!$E$10)^INT((14-1)/12)</f>
        <v>1.35</v>
      </c>
      <c r="P7" s="20" t="n">
        <f aca="false">(1+سناریوها!$E$10)^INT((15-1)/12)</f>
        <v>1.35</v>
      </c>
      <c r="Q7" s="20" t="n">
        <f aca="false">(1+سناریوها!$E$10)^INT((16-1)/12)</f>
        <v>1.35</v>
      </c>
      <c r="R7" s="20" t="n">
        <f aca="false">(1+سناریوها!$E$10)^INT((17-1)/12)</f>
        <v>1.35</v>
      </c>
      <c r="S7" s="20" t="n">
        <f aca="false">(1+سناریوها!$E$10)^INT((18-1)/12)</f>
        <v>1.35</v>
      </c>
      <c r="T7" s="20" t="n">
        <f aca="false">(1+سناریوها!$E$10)^INT((19-1)/12)</f>
        <v>1.35</v>
      </c>
      <c r="U7" s="20" t="n">
        <f aca="false">(1+سناریوها!$E$10)^INT((20-1)/12)</f>
        <v>1.35</v>
      </c>
      <c r="V7" s="20" t="n">
        <f aca="false">(1+سناریوها!$E$10)^INT((21-1)/12)</f>
        <v>1.35</v>
      </c>
      <c r="W7" s="20" t="n">
        <f aca="false">(1+سناریوها!$E$10)^INT((22-1)/12)</f>
        <v>1.35</v>
      </c>
      <c r="X7" s="20" t="n">
        <f aca="false">(1+سناریوها!$E$10)^INT((23-1)/12)</f>
        <v>1.35</v>
      </c>
      <c r="Y7" s="20" t="n">
        <f aca="false">(1+سناریوها!$E$10)^INT((24-1)/12)</f>
        <v>1.35</v>
      </c>
    </row>
    <row r="8" customFormat="false" ht="15" hidden="false" customHeight="false" outlineLevel="0" collapsed="false">
      <c r="A8" s="4" t="s">
        <v>348</v>
      </c>
      <c r="B8" s="20" t="n">
        <f aca="false">IF(1&gt;='مفروضات مشترک'!$B$18,'مفروضات مشترک'!$B$15,IF(1&gt;='مفروضات مشترک'!$B$17,'مفروضات مشترک'!$B$14,IF(1&gt;='مفروضات مشترک'!$B$16,'مفروضات مشترک'!$B$13,0)))</f>
        <v>0</v>
      </c>
      <c r="C8" s="20" t="n">
        <f aca="false">IF(2&gt;='مفروضات مشترک'!$B$18,'مفروضات مشترک'!$B$15,IF(2&gt;='مفروضات مشترک'!$B$17,'مفروضات مشترک'!$B$14,IF(2&gt;='مفروضات مشترک'!$B$16,'مفروضات مشترک'!$B$13,0)))</f>
        <v>0</v>
      </c>
      <c r="D8" s="20" t="n">
        <f aca="false">IF(3&gt;='مفروضات مشترک'!$B$18,'مفروضات مشترک'!$B$15,IF(3&gt;='مفروضات مشترک'!$B$17,'مفروضات مشترک'!$B$14,IF(3&gt;='مفروضات مشترک'!$B$16,'مفروضات مشترک'!$B$13,0)))</f>
        <v>0</v>
      </c>
      <c r="E8" s="20" t="n">
        <f aca="false">IF(4&gt;='مفروضات مشترک'!$B$18,'مفروضات مشترک'!$B$15,IF(4&gt;='مفروضات مشترک'!$B$17,'مفروضات مشترک'!$B$14,IF(4&gt;='مفروضات مشترک'!$B$16,'مفروضات مشترک'!$B$13,0)))</f>
        <v>0</v>
      </c>
      <c r="F8" s="20" t="n">
        <f aca="false">IF(5&gt;='مفروضات مشترک'!$B$18,'مفروضات مشترک'!$B$15,IF(5&gt;='مفروضات مشترک'!$B$17,'مفروضات مشترک'!$B$14,IF(5&gt;='مفروضات مشترک'!$B$16,'مفروضات مشترک'!$B$13,0)))</f>
        <v>0</v>
      </c>
      <c r="G8" s="20" t="n">
        <f aca="false">IF(6&gt;='مفروضات مشترک'!$B$18,'مفروضات مشترک'!$B$15,IF(6&gt;='مفروضات مشترک'!$B$17,'مفروضات مشترک'!$B$14,IF(6&gt;='مفروضات مشترک'!$B$16,'مفروضات مشترک'!$B$13,0)))</f>
        <v>0.3</v>
      </c>
      <c r="H8" s="20" t="n">
        <f aca="false">IF(7&gt;='مفروضات مشترک'!$B$18,'مفروضات مشترک'!$B$15,IF(7&gt;='مفروضات مشترک'!$B$17,'مفروضات مشترک'!$B$14,IF(7&gt;='مفروضات مشترک'!$B$16,'مفروضات مشترک'!$B$13,0)))</f>
        <v>0.3</v>
      </c>
      <c r="I8" s="20" t="n">
        <f aca="false">IF(8&gt;='مفروضات مشترک'!$B$18,'مفروضات مشترک'!$B$15,IF(8&gt;='مفروضات مشترک'!$B$17,'مفروضات مشترک'!$B$14,IF(8&gt;='مفروضات مشترک'!$B$16,'مفروضات مشترک'!$B$13,0)))</f>
        <v>0.3</v>
      </c>
      <c r="J8" s="20" t="n">
        <f aca="false">IF(9&gt;='مفروضات مشترک'!$B$18,'مفروضات مشترک'!$B$15,IF(9&gt;='مفروضات مشترک'!$B$17,'مفروضات مشترک'!$B$14,IF(9&gt;='مفروضات مشترک'!$B$16,'مفروضات مشترک'!$B$13,0)))</f>
        <v>0.3</v>
      </c>
      <c r="K8" s="20" t="n">
        <f aca="false">IF(10&gt;='مفروضات مشترک'!$B$18,'مفروضات مشترک'!$B$15,IF(10&gt;='مفروضات مشترک'!$B$17,'مفروضات مشترک'!$B$14,IF(10&gt;='مفروضات مشترک'!$B$16,'مفروضات مشترک'!$B$13,0)))</f>
        <v>0.3</v>
      </c>
      <c r="L8" s="20" t="n">
        <f aca="false">IF(11&gt;='مفروضات مشترک'!$B$18,'مفروضات مشترک'!$B$15,IF(11&gt;='مفروضات مشترک'!$B$17,'مفروضات مشترک'!$B$14,IF(11&gt;='مفروضات مشترک'!$B$16,'مفروضات مشترک'!$B$13,0)))</f>
        <v>0.75</v>
      </c>
      <c r="M8" s="20" t="n">
        <f aca="false">IF(12&gt;='مفروضات مشترک'!$B$18,'مفروضات مشترک'!$B$15,IF(12&gt;='مفروضات مشترک'!$B$17,'مفروضات مشترک'!$B$14,IF(12&gt;='مفروضات مشترک'!$B$16,'مفروضات مشترک'!$B$13,0)))</f>
        <v>0.75</v>
      </c>
      <c r="N8" s="20" t="n">
        <f aca="false">IF(13&gt;='مفروضات مشترک'!$B$18,'مفروضات مشترک'!$B$15,IF(13&gt;='مفروضات مشترک'!$B$17,'مفروضات مشترک'!$B$14,IF(13&gt;='مفروضات مشترک'!$B$16,'مفروضات مشترک'!$B$13,0)))</f>
        <v>0.75</v>
      </c>
      <c r="O8" s="20" t="n">
        <f aca="false">IF(14&gt;='مفروضات مشترک'!$B$18,'مفروضات مشترک'!$B$15,IF(14&gt;='مفروضات مشترک'!$B$17,'مفروضات مشترک'!$B$14,IF(14&gt;='مفروضات مشترک'!$B$16,'مفروضات مشترک'!$B$13,0)))</f>
        <v>0.75</v>
      </c>
      <c r="P8" s="20" t="n">
        <f aca="false">IF(15&gt;='مفروضات مشترک'!$B$18,'مفروضات مشترک'!$B$15,IF(15&gt;='مفروضات مشترک'!$B$17,'مفروضات مشترک'!$B$14,IF(15&gt;='مفروضات مشترک'!$B$16,'مفروضات مشترک'!$B$13,0)))</f>
        <v>0.75</v>
      </c>
      <c r="Q8" s="20" t="n">
        <f aca="false">IF(16&gt;='مفروضات مشترک'!$B$18,'مفروضات مشترک'!$B$15,IF(16&gt;='مفروضات مشترک'!$B$17,'مفروضات مشترک'!$B$14,IF(16&gt;='مفروضات مشترک'!$B$16,'مفروضات مشترک'!$B$13,0)))</f>
        <v>0.75</v>
      </c>
      <c r="R8" s="20" t="n">
        <f aca="false">IF(17&gt;='مفروضات مشترک'!$B$18,'مفروضات مشترک'!$B$15,IF(17&gt;='مفروضات مشترک'!$B$17,'مفروضات مشترک'!$B$14,IF(17&gt;='مفروضات مشترک'!$B$16,'مفروضات مشترک'!$B$13,0)))</f>
        <v>0.75</v>
      </c>
      <c r="S8" s="20" t="n">
        <f aca="false">IF(18&gt;='مفروضات مشترک'!$B$18,'مفروضات مشترک'!$B$15,IF(18&gt;='مفروضات مشترک'!$B$17,'مفروضات مشترک'!$B$14,IF(18&gt;='مفروضات مشترک'!$B$16,'مفروضات مشترک'!$B$13,0)))</f>
        <v>0.75</v>
      </c>
      <c r="T8" s="20" t="n">
        <f aca="false">IF(19&gt;='مفروضات مشترک'!$B$18,'مفروضات مشترک'!$B$15,IF(19&gt;='مفروضات مشترک'!$B$17,'مفروضات مشترک'!$B$14,IF(19&gt;='مفروضات مشترک'!$B$16,'مفروضات مشترک'!$B$13,0)))</f>
        <v>1</v>
      </c>
      <c r="U8" s="20" t="n">
        <f aca="false">IF(20&gt;='مفروضات مشترک'!$B$18,'مفروضات مشترک'!$B$15,IF(20&gt;='مفروضات مشترک'!$B$17,'مفروضات مشترک'!$B$14,IF(20&gt;='مفروضات مشترک'!$B$16,'مفروضات مشترک'!$B$13,0)))</f>
        <v>1</v>
      </c>
      <c r="V8" s="20" t="n">
        <f aca="false">IF(21&gt;='مفروضات مشترک'!$B$18,'مفروضات مشترک'!$B$15,IF(21&gt;='مفروضات مشترک'!$B$17,'مفروضات مشترک'!$B$14,IF(21&gt;='مفروضات مشترک'!$B$16,'مفروضات مشترک'!$B$13,0)))</f>
        <v>1</v>
      </c>
      <c r="W8" s="20" t="n">
        <f aca="false">IF(22&gt;='مفروضات مشترک'!$B$18,'مفروضات مشترک'!$B$15,IF(22&gt;='مفروضات مشترک'!$B$17,'مفروضات مشترک'!$B$14,IF(22&gt;='مفروضات مشترک'!$B$16,'مفروضات مشترک'!$B$13,0)))</f>
        <v>1</v>
      </c>
      <c r="X8" s="20" t="n">
        <f aca="false">IF(23&gt;='مفروضات مشترک'!$B$18,'مفروضات مشترک'!$B$15,IF(23&gt;='مفروضات مشترک'!$B$17,'مفروضات مشترک'!$B$14,IF(23&gt;='مفروضات مشترک'!$B$16,'مفروضات مشترک'!$B$13,0)))</f>
        <v>1</v>
      </c>
      <c r="Y8" s="20" t="n">
        <f aca="false">IF(24&gt;='مفروضات مشترک'!$B$18,'مفروضات مشترک'!$B$15,IF(24&gt;='مفروضات مشترک'!$B$17,'مفروضات مشترک'!$B$14,IF(24&gt;='مفروضات مشترک'!$B$16,'مفروضات مشترک'!$B$13,0)))</f>
        <v>1</v>
      </c>
    </row>
    <row r="9" customFormat="false" ht="15" hidden="false" customHeight="false" outlineLevel="0" collapsed="false">
      <c r="A9" s="27" t="s">
        <v>349</v>
      </c>
      <c r="B9" s="28"/>
      <c r="C9" s="28"/>
      <c r="D9" s="28"/>
      <c r="E9" s="28"/>
      <c r="F9" s="28"/>
      <c r="G9" s="28"/>
      <c r="H9" s="28"/>
      <c r="I9" s="28"/>
      <c r="J9" s="28"/>
      <c r="K9" s="28"/>
      <c r="L9" s="28"/>
      <c r="M9" s="28"/>
      <c r="N9" s="28"/>
      <c r="O9" s="28"/>
      <c r="P9" s="28"/>
      <c r="Q9" s="28"/>
      <c r="R9" s="28"/>
      <c r="S9" s="28"/>
      <c r="T9" s="28"/>
      <c r="U9" s="28"/>
      <c r="V9" s="28"/>
      <c r="W9" s="28"/>
      <c r="X9" s="28"/>
      <c r="Y9" s="28"/>
    </row>
    <row r="10" customFormat="false" ht="15" hidden="false" customHeight="false" outlineLevel="0" collapsed="false">
      <c r="A10" s="4" t="s">
        <v>350</v>
      </c>
      <c r="B10" s="20" t="n">
        <f aca="false">IF(1&gt;='مفروضات مشترک'!$B$24,سناریوها!$E$12,0)</f>
        <v>0</v>
      </c>
      <c r="C10" s="20" t="n">
        <f aca="false">IF(2&gt;='مفروضات مشترک'!$B$24,سناریوها!$E$12,0)</f>
        <v>0</v>
      </c>
      <c r="D10" s="20" t="n">
        <f aca="false">IF(3&gt;='مفروضات مشترک'!$B$24,سناریوها!$E$12,0)</f>
        <v>0</v>
      </c>
      <c r="E10" s="20" t="n">
        <f aca="false">IF(4&gt;='مفروضات مشترک'!$B$24,سناریوها!$E$12,0)</f>
        <v>0</v>
      </c>
      <c r="F10" s="20" t="n">
        <f aca="false">IF(5&gt;='مفروضات مشترک'!$B$24,سناریوها!$E$12,0)</f>
        <v>0</v>
      </c>
      <c r="G10" s="20" t="n">
        <f aca="false">IF(6&gt;='مفروضات مشترک'!$B$24,سناریوها!$E$12,0)</f>
        <v>6</v>
      </c>
      <c r="H10" s="20" t="n">
        <f aca="false">IF(7&gt;='مفروضات مشترک'!$B$24,سناریوها!$E$12,0)</f>
        <v>6</v>
      </c>
      <c r="I10" s="20" t="n">
        <f aca="false">IF(8&gt;='مفروضات مشترک'!$B$24,سناریوها!$E$12,0)</f>
        <v>6</v>
      </c>
      <c r="J10" s="20" t="n">
        <f aca="false">IF(9&gt;='مفروضات مشترک'!$B$24,سناریوها!$E$12,0)</f>
        <v>6</v>
      </c>
      <c r="K10" s="20" t="n">
        <f aca="false">IF(10&gt;='مفروضات مشترک'!$B$24,سناریوها!$E$12,0)</f>
        <v>6</v>
      </c>
      <c r="L10" s="20" t="n">
        <f aca="false">IF(11&gt;='مفروضات مشترک'!$B$24,سناریوها!$E$12,0)</f>
        <v>6</v>
      </c>
      <c r="M10" s="20" t="n">
        <f aca="false">IF(12&gt;='مفروضات مشترک'!$B$24,سناریوها!$E$12,0)</f>
        <v>6</v>
      </c>
      <c r="N10" s="20" t="n">
        <f aca="false">IF(13&gt;='مفروضات مشترک'!$B$24,سناریوها!$E$12,0)</f>
        <v>6</v>
      </c>
      <c r="O10" s="20" t="n">
        <f aca="false">IF(14&gt;='مفروضات مشترک'!$B$24,سناریوها!$E$12,0)</f>
        <v>6</v>
      </c>
      <c r="P10" s="20" t="n">
        <f aca="false">IF(15&gt;='مفروضات مشترک'!$B$24,سناریوها!$E$12,0)</f>
        <v>6</v>
      </c>
      <c r="Q10" s="20" t="n">
        <f aca="false">IF(16&gt;='مفروضات مشترک'!$B$24,سناریوها!$E$12,0)</f>
        <v>6</v>
      </c>
      <c r="R10" s="20" t="n">
        <f aca="false">IF(17&gt;='مفروضات مشترک'!$B$24,سناریوها!$E$12,0)</f>
        <v>6</v>
      </c>
      <c r="S10" s="20" t="n">
        <f aca="false">IF(18&gt;='مفروضات مشترک'!$B$24,سناریوها!$E$12,0)</f>
        <v>6</v>
      </c>
      <c r="T10" s="20" t="n">
        <f aca="false">IF(19&gt;='مفروضات مشترک'!$B$24,سناریوها!$E$12,0)</f>
        <v>6</v>
      </c>
      <c r="U10" s="20" t="n">
        <f aca="false">IF(20&gt;='مفروضات مشترک'!$B$24,سناریوها!$E$12,0)</f>
        <v>6</v>
      </c>
      <c r="V10" s="20" t="n">
        <f aca="false">IF(21&gt;='مفروضات مشترک'!$B$24,سناریوها!$E$12,0)</f>
        <v>6</v>
      </c>
      <c r="W10" s="20" t="n">
        <f aca="false">IF(22&gt;='مفروضات مشترک'!$B$24,سناریوها!$E$12,0)</f>
        <v>6</v>
      </c>
      <c r="X10" s="20" t="n">
        <f aca="false">IF(23&gt;='مفروضات مشترک'!$B$24,سناریوها!$E$12,0)</f>
        <v>6</v>
      </c>
      <c r="Y10" s="20" t="n">
        <f aca="false">IF(24&gt;='مفروضات مشترک'!$B$24,سناریوها!$E$12,0)</f>
        <v>6</v>
      </c>
    </row>
    <row r="11" customFormat="false" ht="15" hidden="false" customHeight="false" outlineLevel="0" collapsed="false">
      <c r="A11" s="4" t="s">
        <v>351</v>
      </c>
      <c r="B11" s="20" t="n">
        <f aca="false">B10*سناریوها!$E$13</f>
        <v>0</v>
      </c>
      <c r="C11" s="20" t="n">
        <f aca="false">C10*سناریوها!$E$13</f>
        <v>0</v>
      </c>
      <c r="D11" s="20" t="n">
        <f aca="false">D10*سناریوها!$E$13</f>
        <v>0</v>
      </c>
      <c r="E11" s="20" t="n">
        <f aca="false">E10*سناریوها!$E$13</f>
        <v>0</v>
      </c>
      <c r="F11" s="20" t="n">
        <f aca="false">F10*سناریوها!$E$13</f>
        <v>0</v>
      </c>
      <c r="G11" s="20" t="n">
        <f aca="false">G10*سناریوها!$E$13</f>
        <v>3.6</v>
      </c>
      <c r="H11" s="20" t="n">
        <f aca="false">H10*سناریوها!$E$13</f>
        <v>3.6</v>
      </c>
      <c r="I11" s="20" t="n">
        <f aca="false">I10*سناریوها!$E$13</f>
        <v>3.6</v>
      </c>
      <c r="J11" s="20" t="n">
        <f aca="false">J10*سناریوها!$E$13</f>
        <v>3.6</v>
      </c>
      <c r="K11" s="20" t="n">
        <f aca="false">K10*سناریوها!$E$13</f>
        <v>3.6</v>
      </c>
      <c r="L11" s="20" t="n">
        <f aca="false">L10*سناریوها!$E$13</f>
        <v>3.6</v>
      </c>
      <c r="M11" s="20" t="n">
        <f aca="false">M10*سناریوها!$E$13</f>
        <v>3.6</v>
      </c>
      <c r="N11" s="20" t="n">
        <f aca="false">N10*سناریوها!$E$13</f>
        <v>3.6</v>
      </c>
      <c r="O11" s="20" t="n">
        <f aca="false">O10*سناریوها!$E$13</f>
        <v>3.6</v>
      </c>
      <c r="P11" s="20" t="n">
        <f aca="false">P10*سناریوها!$E$13</f>
        <v>3.6</v>
      </c>
      <c r="Q11" s="20" t="n">
        <f aca="false">Q10*سناریوها!$E$13</f>
        <v>3.6</v>
      </c>
      <c r="R11" s="20" t="n">
        <f aca="false">R10*سناریوها!$E$13</f>
        <v>3.6</v>
      </c>
      <c r="S11" s="20" t="n">
        <f aca="false">S10*سناریوها!$E$13</f>
        <v>3.6</v>
      </c>
      <c r="T11" s="20" t="n">
        <f aca="false">T10*سناریوها!$E$13</f>
        <v>3.6</v>
      </c>
      <c r="U11" s="20" t="n">
        <f aca="false">U10*سناریوها!$E$13</f>
        <v>3.6</v>
      </c>
      <c r="V11" s="20" t="n">
        <f aca="false">V10*سناریوها!$E$13</f>
        <v>3.6</v>
      </c>
      <c r="W11" s="20" t="n">
        <f aca="false">W10*سناریوها!$E$13</f>
        <v>3.6</v>
      </c>
      <c r="X11" s="20" t="n">
        <f aca="false">X10*سناریوها!$E$13</f>
        <v>3.6</v>
      </c>
      <c r="Y11" s="20" t="n">
        <f aca="false">Y10*سناریوها!$E$13</f>
        <v>3.6</v>
      </c>
    </row>
    <row r="12" customFormat="false" ht="16.4" hidden="false" customHeight="false" outlineLevel="0" collapsed="false">
      <c r="A12" s="4" t="s">
        <v>352</v>
      </c>
      <c r="B12" s="20" t="n">
        <f aca="false">IF(1-سناریوها!$E$15&lt;1,0,INDEX($B$11:$Y$11,1,MAX(1,ROUND(1-سناریوها!$E$15,0)))*سناریوها!$E$14)</f>
        <v>0</v>
      </c>
      <c r="C12" s="20" t="n">
        <f aca="false">IF(2-سناریوها!$E$15&lt;1,0,INDEX($B$11:$Y$11,1,MAX(1,ROUND(2-سناریوها!$E$15,0)))*سناریوها!$E$14)</f>
        <v>0</v>
      </c>
      <c r="D12" s="20" t="n">
        <f aca="false">IF(3-سناریوها!$E$15&lt;1,0,INDEX($B$11:$Y$11,1,MAX(1,ROUND(3-سناریوها!$E$15,0)))*سناریوها!$E$14)</f>
        <v>0</v>
      </c>
      <c r="E12" s="20" t="n">
        <f aca="false">IF(4-سناریوها!$E$15&lt;1,0,INDEX($B$11:$Y$11,1,MAX(1,ROUND(4-سناریوها!$E$15,0)))*سناریوها!$E$14)</f>
        <v>0</v>
      </c>
      <c r="F12" s="20" t="n">
        <f aca="false">IF(5-سناریوها!$E$15&lt;1,0,INDEX($B$11:$Y$11,1,MAX(1,ROUND(5-سناریوها!$E$15,0)))*سناریوها!$E$14)</f>
        <v>0</v>
      </c>
      <c r="G12" s="20" t="n">
        <f aca="false">IF(6-سناریوها!$E$15&lt;1,0,INDEX($B$11:$Y$11,1,MAX(1,ROUND(6-سناریوها!$E$15,0)))*سناریوها!$E$14)</f>
        <v>0</v>
      </c>
      <c r="H12" s="20" t="n">
        <f aca="false">IF(7-سناریوها!$E$15&lt;1,0,INDEX($B$11:$Y$11,1,MAX(1,ROUND(7-سناریوها!$E$15,0)))*سناریوها!$E$14)</f>
        <v>0</v>
      </c>
      <c r="I12" s="20" t="n">
        <f aca="false">IF(8-سناریوها!$E$15&lt;1,0,INDEX($B$11:$Y$11,1,MAX(1,ROUND(8-سناریوها!$E$15,0)))*سناریوها!$E$14)</f>
        <v>1.26</v>
      </c>
      <c r="J12" s="20" t="n">
        <f aca="false">IF(9-سناریوها!$E$15&lt;1,0,INDEX($B$11:$Y$11,1,MAX(1,ROUND(9-سناریوها!$E$15,0)))*سناریوها!$E$14)</f>
        <v>1.26</v>
      </c>
      <c r="K12" s="20" t="n">
        <f aca="false">IF(10-سناریوها!$E$15&lt;1,0,INDEX($B$11:$Y$11,1,MAX(1,ROUND(10-سناریوها!$E$15,0)))*سناریوها!$E$14)</f>
        <v>1.26</v>
      </c>
      <c r="L12" s="20" t="n">
        <f aca="false">IF(11-سناریوها!$E$15&lt;1,0,INDEX($B$11:$Y$11,1,MAX(1,ROUND(11-سناریوها!$E$15,0)))*سناریوها!$E$14)</f>
        <v>1.26</v>
      </c>
      <c r="M12" s="20" t="n">
        <f aca="false">IF(12-سناریوها!$E$15&lt;1,0,INDEX($B$11:$Y$11,1,MAX(1,ROUND(12-سناریوها!$E$15,0)))*سناریوها!$E$14)</f>
        <v>1.26</v>
      </c>
      <c r="N12" s="20" t="n">
        <f aca="false">IF(13-سناریوها!$E$15&lt;1,0,INDEX($B$11:$Y$11,1,MAX(1,ROUND(13-سناریوها!$E$15,0)))*سناریوها!$E$14)</f>
        <v>1.26</v>
      </c>
      <c r="O12" s="20" t="n">
        <f aca="false">IF(14-سناریوها!$E$15&lt;1,0,INDEX($B$11:$Y$11,1,MAX(1,ROUND(14-سناریوها!$E$15,0)))*سناریوها!$E$14)</f>
        <v>1.26</v>
      </c>
      <c r="P12" s="20" t="n">
        <f aca="false">IF(15-سناریوها!$E$15&lt;1,0,INDEX($B$11:$Y$11,1,MAX(1,ROUND(15-سناریوها!$E$15,0)))*سناریوها!$E$14)</f>
        <v>1.26</v>
      </c>
      <c r="Q12" s="20" t="n">
        <f aca="false">IF(16-سناریوها!$E$15&lt;1,0,INDEX($B$11:$Y$11,1,MAX(1,ROUND(16-سناریوها!$E$15,0)))*سناریوها!$E$14)</f>
        <v>1.26</v>
      </c>
      <c r="R12" s="20" t="n">
        <f aca="false">IF(17-سناریوها!$E$15&lt;1,0,INDEX($B$11:$Y$11,1,MAX(1,ROUND(17-سناریوها!$E$15,0)))*سناریوها!$E$14)</f>
        <v>1.26</v>
      </c>
      <c r="S12" s="20" t="n">
        <f aca="false">IF(18-سناریوها!$E$15&lt;1,0,INDEX($B$11:$Y$11,1,MAX(1,ROUND(18-سناریوها!$E$15,0)))*سناریوها!$E$14)</f>
        <v>1.26</v>
      </c>
      <c r="T12" s="20" t="n">
        <f aca="false">IF(19-سناریوها!$E$15&lt;1,0,INDEX($B$11:$Y$11,1,MAX(1,ROUND(19-سناریوها!$E$15,0)))*سناریوها!$E$14)</f>
        <v>1.26</v>
      </c>
      <c r="U12" s="20" t="n">
        <f aca="false">IF(20-سناریوها!$E$15&lt;1,0,INDEX($B$11:$Y$11,1,MAX(1,ROUND(20-سناریوها!$E$15,0)))*سناریوها!$E$14)</f>
        <v>1.26</v>
      </c>
      <c r="V12" s="20" t="n">
        <f aca="false">IF(21-سناریوها!$E$15&lt;1,0,INDEX($B$11:$Y$11,1,MAX(1,ROUND(21-سناریوها!$E$15,0)))*سناریوها!$E$14)</f>
        <v>1.26</v>
      </c>
      <c r="W12" s="20" t="n">
        <f aca="false">IF(22-سناریوها!$E$15&lt;1,0,INDEX($B$11:$Y$11,1,MAX(1,ROUND(22-سناریوها!$E$15,0)))*سناریوها!$E$14)</f>
        <v>1.26</v>
      </c>
      <c r="X12" s="20" t="n">
        <f aca="false">IF(23-سناریوها!$E$15&lt;1,0,INDEX($B$11:$Y$11,1,MAX(1,ROUND(23-سناریوها!$E$15,0)))*سناریوها!$E$14)</f>
        <v>1.26</v>
      </c>
      <c r="Y12" s="20" t="n">
        <f aca="false">IF(24-سناریوها!$E$15&lt;1,0,INDEX($B$11:$Y$11,1,MAX(1,ROUND(24-سناریوها!$E$15,0)))*سناریوها!$E$14)</f>
        <v>1.26</v>
      </c>
    </row>
    <row r="13" customFormat="false" ht="15" hidden="false" customHeight="false" outlineLevel="0" collapsed="false">
      <c r="A13" s="27" t="s">
        <v>353</v>
      </c>
      <c r="B13" s="28"/>
      <c r="C13" s="28"/>
      <c r="D13" s="28"/>
      <c r="E13" s="28"/>
      <c r="F13" s="28"/>
      <c r="G13" s="28"/>
      <c r="H13" s="28"/>
      <c r="I13" s="28"/>
      <c r="J13" s="28"/>
      <c r="K13" s="28"/>
      <c r="L13" s="28"/>
      <c r="M13" s="28"/>
      <c r="N13" s="28"/>
      <c r="O13" s="28"/>
      <c r="P13" s="28"/>
      <c r="Q13" s="28"/>
      <c r="R13" s="28"/>
      <c r="S13" s="28"/>
      <c r="T13" s="28"/>
      <c r="U13" s="28"/>
      <c r="V13" s="28"/>
      <c r="W13" s="28"/>
      <c r="X13" s="28"/>
      <c r="Y13" s="28"/>
    </row>
    <row r="14" customFormat="false" ht="15" hidden="false" customHeight="false" outlineLevel="0" collapsed="false">
      <c r="A14" s="4" t="s">
        <v>354</v>
      </c>
      <c r="B14" s="20" t="n">
        <f aca="false">'مفروضات مشترک'!$B$27/'مفروضات مشترک'!$B$28</f>
        <v>2</v>
      </c>
      <c r="C14" s="20" t="n">
        <f aca="false">'مفروضات مشترک'!$B$27/'مفروضات مشترک'!$B$28</f>
        <v>2</v>
      </c>
      <c r="D14" s="20" t="n">
        <f aca="false">'مفروضات مشترک'!$B$27/'مفروضات مشترک'!$B$28</f>
        <v>2</v>
      </c>
      <c r="E14" s="20" t="n">
        <f aca="false">'مفروضات مشترک'!$B$27/'مفروضات مشترک'!$B$28</f>
        <v>2</v>
      </c>
      <c r="F14" s="20" t="n">
        <f aca="false">'مفروضات مشترک'!$B$27/'مفروضات مشترک'!$B$28</f>
        <v>2</v>
      </c>
      <c r="G14" s="20" t="n">
        <f aca="false">'مفروضات مشترک'!$B$27/'مفروضات مشترک'!$B$28</f>
        <v>2</v>
      </c>
      <c r="H14" s="20" t="n">
        <f aca="false">'مفروضات مشترک'!$B$27/'مفروضات مشترک'!$B$28</f>
        <v>2</v>
      </c>
      <c r="I14" s="20" t="n">
        <f aca="false">'مفروضات مشترک'!$B$27/'مفروضات مشترک'!$B$28</f>
        <v>2</v>
      </c>
      <c r="J14" s="20" t="n">
        <f aca="false">'مفروضات مشترک'!$B$27/'مفروضات مشترک'!$B$28</f>
        <v>2</v>
      </c>
      <c r="K14" s="20" t="n">
        <f aca="false">'مفروضات مشترک'!$B$27/'مفروضات مشترک'!$B$28</f>
        <v>2</v>
      </c>
      <c r="L14" s="20" t="n">
        <f aca="false">'مفروضات مشترک'!$B$27/'مفروضات مشترک'!$B$28</f>
        <v>2</v>
      </c>
      <c r="M14" s="20" t="n">
        <f aca="false">'مفروضات مشترک'!$B$27/'مفروضات مشترک'!$B$28</f>
        <v>2</v>
      </c>
      <c r="N14" s="20" t="n">
        <f aca="false">'مفروضات مشترک'!$B$27/'مفروضات مشترک'!$B$28</f>
        <v>2</v>
      </c>
      <c r="O14" s="20" t="n">
        <f aca="false">'مفروضات مشترک'!$B$27/'مفروضات مشترک'!$B$28</f>
        <v>2</v>
      </c>
      <c r="P14" s="20" t="n">
        <f aca="false">'مفروضات مشترک'!$B$27/'مفروضات مشترک'!$B$28</f>
        <v>2</v>
      </c>
      <c r="Q14" s="20" t="n">
        <f aca="false">'مفروضات مشترک'!$B$27/'مفروضات مشترک'!$B$28</f>
        <v>2</v>
      </c>
      <c r="R14" s="20" t="n">
        <f aca="false">'مفروضات مشترک'!$B$27/'مفروضات مشترک'!$B$28</f>
        <v>2</v>
      </c>
      <c r="S14" s="20" t="n">
        <f aca="false">'مفروضات مشترک'!$B$27/'مفروضات مشترک'!$B$28</f>
        <v>2</v>
      </c>
      <c r="T14" s="20" t="n">
        <f aca="false">'مفروضات مشترک'!$B$27/'مفروضات مشترک'!$B$28</f>
        <v>2</v>
      </c>
      <c r="U14" s="20" t="n">
        <f aca="false">'مفروضات مشترک'!$B$27/'مفروضات مشترک'!$B$28</f>
        <v>2</v>
      </c>
      <c r="V14" s="20" t="n">
        <f aca="false">'مفروضات مشترک'!$B$27/'مفروضات مشترک'!$B$28</f>
        <v>2</v>
      </c>
      <c r="W14" s="20" t="n">
        <f aca="false">'مفروضات مشترک'!$B$27/'مفروضات مشترک'!$B$28</f>
        <v>2</v>
      </c>
      <c r="X14" s="20" t="n">
        <f aca="false">'مفروضات مشترک'!$B$27/'مفروضات مشترک'!$B$28</f>
        <v>2</v>
      </c>
      <c r="Y14" s="20" t="n">
        <f aca="false">'مفروضات مشترک'!$B$27/'مفروضات مشترک'!$B$28</f>
        <v>2</v>
      </c>
    </row>
    <row r="15" customFormat="false" ht="15" hidden="false" customHeight="false" outlineLevel="0" collapsed="false">
      <c r="A15" s="4" t="s">
        <v>355</v>
      </c>
      <c r="B15" s="20" t="n">
        <f aca="false">سناریوها!$E$18*'مفروضات مشترک'!$B$25*160/'اقتصاد واحد'!$E$15</f>
        <v>1.80446757299593</v>
      </c>
      <c r="C15" s="20" t="n">
        <f aca="false">سناریوها!$E$18*'مفروضات مشترک'!$B$25*160/'اقتصاد واحد'!$E$15</f>
        <v>1.80446757299593</v>
      </c>
      <c r="D15" s="20" t="n">
        <f aca="false">سناریوها!$E$18*'مفروضات مشترک'!$B$25*160/'اقتصاد واحد'!$E$15</f>
        <v>1.80446757299593</v>
      </c>
      <c r="E15" s="20" t="n">
        <f aca="false">سناریوها!$E$18*'مفروضات مشترک'!$B$25*160/'اقتصاد واحد'!$E$15</f>
        <v>1.80446757299593</v>
      </c>
      <c r="F15" s="20" t="n">
        <f aca="false">سناریوها!$E$18*'مفروضات مشترک'!$B$25*160/'اقتصاد واحد'!$E$15</f>
        <v>1.80446757299593</v>
      </c>
      <c r="G15" s="20" t="n">
        <f aca="false">سناریوها!$E$18*'مفروضات مشترک'!$B$25*160/'اقتصاد واحد'!$E$15</f>
        <v>1.80446757299593</v>
      </c>
      <c r="H15" s="20" t="n">
        <f aca="false">سناریوها!$E$18*'مفروضات مشترک'!$B$25*160/'اقتصاد واحد'!$E$15</f>
        <v>1.80446757299593</v>
      </c>
      <c r="I15" s="20" t="n">
        <f aca="false">سناریوها!$E$18*'مفروضات مشترک'!$B$25*160/'اقتصاد واحد'!$E$15</f>
        <v>1.80446757299593</v>
      </c>
      <c r="J15" s="20" t="n">
        <f aca="false">سناریوها!$E$18*'مفروضات مشترک'!$B$25*160/'اقتصاد واحد'!$E$15</f>
        <v>1.80446757299593</v>
      </c>
      <c r="K15" s="20" t="n">
        <f aca="false">سناریوها!$E$18*'مفروضات مشترک'!$B$25*160/'اقتصاد واحد'!$E$15</f>
        <v>1.80446757299593</v>
      </c>
      <c r="L15" s="20" t="n">
        <f aca="false">سناریوها!$E$18*'مفروضات مشترک'!$B$25*160/'اقتصاد واحد'!$E$15</f>
        <v>1.80446757299593</v>
      </c>
      <c r="M15" s="20" t="n">
        <f aca="false">سناریوها!$E$18*'مفروضات مشترک'!$B$25*160/'اقتصاد واحد'!$E$15</f>
        <v>1.80446757299593</v>
      </c>
      <c r="N15" s="20" t="n">
        <f aca="false">سناریوها!$E$18*'مفروضات مشترک'!$B$25*160/'اقتصاد واحد'!$E$15</f>
        <v>1.80446757299593</v>
      </c>
      <c r="O15" s="20" t="n">
        <f aca="false">سناریوها!$E$18*'مفروضات مشترک'!$B$25*160/'اقتصاد واحد'!$E$15</f>
        <v>1.80446757299593</v>
      </c>
      <c r="P15" s="20" t="n">
        <f aca="false">سناریوها!$E$18*'مفروضات مشترک'!$B$25*160/'اقتصاد واحد'!$E$15</f>
        <v>1.80446757299593</v>
      </c>
      <c r="Q15" s="20" t="n">
        <f aca="false">سناریوها!$E$18*'مفروضات مشترک'!$B$25*160/'اقتصاد واحد'!$E$15</f>
        <v>1.80446757299593</v>
      </c>
      <c r="R15" s="20" t="n">
        <f aca="false">سناریوها!$E$18*'مفروضات مشترک'!$B$25*160/'اقتصاد واحد'!$E$15</f>
        <v>1.80446757299593</v>
      </c>
      <c r="S15" s="20" t="n">
        <f aca="false">سناریوها!$E$18*'مفروضات مشترک'!$B$25*160/'اقتصاد واحد'!$E$15</f>
        <v>1.80446757299593</v>
      </c>
      <c r="T15" s="20" t="n">
        <f aca="false">سناریوها!$E$18*'مفروضات مشترک'!$B$25*160/'اقتصاد واحد'!$E$15</f>
        <v>1.80446757299593</v>
      </c>
      <c r="U15" s="20" t="n">
        <f aca="false">سناریوها!$E$18*'مفروضات مشترک'!$B$25*160/'اقتصاد واحد'!$E$15</f>
        <v>1.80446757299593</v>
      </c>
      <c r="V15" s="20" t="n">
        <f aca="false">سناریوها!$E$18*'مفروضات مشترک'!$B$25*160/'اقتصاد واحد'!$E$15</f>
        <v>1.80446757299593</v>
      </c>
      <c r="W15" s="20" t="n">
        <f aca="false">سناریوها!$E$18*'مفروضات مشترک'!$B$25*160/'اقتصاد واحد'!$E$15</f>
        <v>1.80446757299593</v>
      </c>
      <c r="X15" s="20" t="n">
        <f aca="false">سناریوها!$E$18*'مفروضات مشترک'!$B$25*160/'اقتصاد واحد'!$E$15</f>
        <v>1.80446757299593</v>
      </c>
      <c r="Y15" s="20" t="n">
        <f aca="false">سناریوها!$E$18*'مفروضات مشترک'!$B$25*160/'اقتصاد واحد'!$E$15</f>
        <v>1.80446757299593</v>
      </c>
    </row>
    <row r="16" customFormat="false" ht="16.4" hidden="false" customHeight="false" outlineLevel="0" collapsed="false">
      <c r="A16" s="4" t="s">
        <v>356</v>
      </c>
      <c r="B16" s="20" t="n">
        <f aca="false">MIN(B12,B14)</f>
        <v>0</v>
      </c>
      <c r="C16" s="20" t="n">
        <f aca="false">MIN(C12,C14)</f>
        <v>0</v>
      </c>
      <c r="D16" s="20" t="n">
        <f aca="false">MIN(D12,D14)</f>
        <v>0</v>
      </c>
      <c r="E16" s="20" t="n">
        <f aca="false">MIN(E12,E14)</f>
        <v>0</v>
      </c>
      <c r="F16" s="20" t="n">
        <f aca="false">MIN(F12,F14)</f>
        <v>0</v>
      </c>
      <c r="G16" s="20" t="n">
        <f aca="false">MIN(G12,G14)</f>
        <v>0</v>
      </c>
      <c r="H16" s="20" t="n">
        <f aca="false">MIN(H12,H14)</f>
        <v>0</v>
      </c>
      <c r="I16" s="20" t="n">
        <f aca="false">MIN(I12,I14)</f>
        <v>1.26</v>
      </c>
      <c r="J16" s="20" t="n">
        <f aca="false">MIN(J12,J14)</f>
        <v>1.26</v>
      </c>
      <c r="K16" s="20" t="n">
        <f aca="false">MIN(K12,K14)</f>
        <v>1.26</v>
      </c>
      <c r="L16" s="20" t="n">
        <f aca="false">MIN(L12,L14)</f>
        <v>1.26</v>
      </c>
      <c r="M16" s="20" t="n">
        <f aca="false">MIN(M12,M14)</f>
        <v>1.26</v>
      </c>
      <c r="N16" s="20" t="n">
        <f aca="false">MIN(N12,N14)</f>
        <v>1.26</v>
      </c>
      <c r="O16" s="20" t="n">
        <f aca="false">MIN(O12,O14)</f>
        <v>1.26</v>
      </c>
      <c r="P16" s="20" t="n">
        <f aca="false">MIN(P12,P14)</f>
        <v>1.26</v>
      </c>
      <c r="Q16" s="20" t="n">
        <f aca="false">MIN(Q12,Q14)</f>
        <v>1.26</v>
      </c>
      <c r="R16" s="20" t="n">
        <f aca="false">MIN(R12,R14)</f>
        <v>1.26</v>
      </c>
      <c r="S16" s="20" t="n">
        <f aca="false">MIN(S12,S14)</f>
        <v>1.26</v>
      </c>
      <c r="T16" s="20" t="n">
        <f aca="false">MIN(T12,T14)</f>
        <v>1.26</v>
      </c>
      <c r="U16" s="20" t="n">
        <f aca="false">MIN(U12,U14)</f>
        <v>1.26</v>
      </c>
      <c r="V16" s="20" t="n">
        <f aca="false">MIN(V12,V14)</f>
        <v>1.26</v>
      </c>
      <c r="W16" s="20" t="n">
        <f aca="false">MIN(W12,W14)</f>
        <v>1.26</v>
      </c>
      <c r="X16" s="20" t="n">
        <f aca="false">MIN(X12,X14)</f>
        <v>1.26</v>
      </c>
      <c r="Y16" s="20" t="n">
        <f aca="false">MIN(Y12,Y14)</f>
        <v>1.26</v>
      </c>
    </row>
    <row r="17" customFormat="false" ht="16.4" hidden="false" customHeight="false" outlineLevel="0" collapsed="false">
      <c r="A17" s="17" t="s">
        <v>357</v>
      </c>
      <c r="B17" s="18" t="n">
        <f aca="false">MIN(B15,سناریوها!$E$7,B16)</f>
        <v>0</v>
      </c>
      <c r="C17" s="18" t="n">
        <f aca="false">MIN(C15,سناریوها!$E$7,B17*(1-سناریوها!$E$16/12)+C16)</f>
        <v>0</v>
      </c>
      <c r="D17" s="18" t="n">
        <f aca="false">MIN(D15,سناریوها!$E$7,C17*(1-سناریوها!$E$16/12)+D16)</f>
        <v>0</v>
      </c>
      <c r="E17" s="18" t="n">
        <f aca="false">MIN(E15,سناریوها!$E$7,D17*(1-سناریوها!$E$16/12)+E16)</f>
        <v>0</v>
      </c>
      <c r="F17" s="18" t="n">
        <f aca="false">MIN(F15,سناریوها!$E$7,E17*(1-سناریوها!$E$16/12)+F16)</f>
        <v>0</v>
      </c>
      <c r="G17" s="18" t="n">
        <f aca="false">MIN(G15,سناریوها!$E$7,F17*(1-سناریوها!$E$16/12)+G16)</f>
        <v>0</v>
      </c>
      <c r="H17" s="18" t="n">
        <f aca="false">MIN(H15,سناریوها!$E$7,G17*(1-سناریوها!$E$16/12)+H16)</f>
        <v>0</v>
      </c>
      <c r="I17" s="18" t="n">
        <f aca="false">MIN(I15,سناریوها!$E$7,H17*(1-سناریوها!$E$16/12)+I16)</f>
        <v>1</v>
      </c>
      <c r="J17" s="18" t="n">
        <f aca="false">MIN(J15,سناریوها!$E$7,I17*(1-سناریوها!$E$16/12)+J16)</f>
        <v>1</v>
      </c>
      <c r="K17" s="18" t="n">
        <f aca="false">MIN(K15,سناریوها!$E$7,J17*(1-سناریوها!$E$16/12)+K16)</f>
        <v>1</v>
      </c>
      <c r="L17" s="18" t="n">
        <f aca="false">MIN(L15,سناریوها!$E$7,K17*(1-سناریوها!$E$16/12)+L16)</f>
        <v>1</v>
      </c>
      <c r="M17" s="18" t="n">
        <f aca="false">MIN(M15,سناریوها!$E$7,L17*(1-سناریوها!$E$16/12)+M16)</f>
        <v>1</v>
      </c>
      <c r="N17" s="18" t="n">
        <f aca="false">MIN(N15,سناریوها!$E$7,M17*(1-سناریوها!$E$16/12)+N16)</f>
        <v>1</v>
      </c>
      <c r="O17" s="18" t="n">
        <f aca="false">MIN(O15,سناریوها!$E$7,N17*(1-سناریوها!$E$16/12)+O16)</f>
        <v>1</v>
      </c>
      <c r="P17" s="18" t="n">
        <f aca="false">MIN(P15,سناریوها!$E$7,O17*(1-سناریوها!$E$16/12)+P16)</f>
        <v>1</v>
      </c>
      <c r="Q17" s="18" t="n">
        <f aca="false">MIN(Q15,سناریوها!$E$7,P17*(1-سناریوها!$E$16/12)+Q16)</f>
        <v>1</v>
      </c>
      <c r="R17" s="18" t="n">
        <f aca="false">MIN(R15,سناریوها!$E$7,Q17*(1-سناریوها!$E$16/12)+R16)</f>
        <v>1</v>
      </c>
      <c r="S17" s="18" t="n">
        <f aca="false">MIN(S15,سناریوها!$E$7,R17*(1-سناریوها!$E$16/12)+S16)</f>
        <v>1</v>
      </c>
      <c r="T17" s="18" t="n">
        <f aca="false">MIN(T15,سناریوها!$E$7,S17*(1-سناریوها!$E$16/12)+T16)</f>
        <v>1</v>
      </c>
      <c r="U17" s="18" t="n">
        <f aca="false">MIN(U15,سناریوها!$E$7,T17*(1-سناریوها!$E$16/12)+U16)</f>
        <v>1</v>
      </c>
      <c r="V17" s="18" t="n">
        <f aca="false">MIN(V15,سناریوها!$E$7,U17*(1-سناریوها!$E$16/12)+V16)</f>
        <v>1</v>
      </c>
      <c r="W17" s="18" t="n">
        <f aca="false">MIN(W15,سناریوها!$E$7,V17*(1-سناریوها!$E$16/12)+W16)</f>
        <v>1</v>
      </c>
      <c r="X17" s="18" t="n">
        <f aca="false">MIN(X15,سناریوها!$E$7,W17*(1-سناریوها!$E$16/12)+X16)</f>
        <v>1</v>
      </c>
      <c r="Y17" s="18" t="n">
        <f aca="false">MIN(Y15,سناریوها!$E$7,X17*(1-سناریوها!$E$16/12)+Y16)</f>
        <v>1</v>
      </c>
    </row>
    <row r="18" customFormat="false" ht="15" hidden="false" customHeight="false" outlineLevel="0" collapsed="false">
      <c r="A18" s="27" t="s">
        <v>254</v>
      </c>
      <c r="B18" s="28"/>
      <c r="C18" s="28"/>
      <c r="D18" s="28"/>
      <c r="E18" s="28"/>
      <c r="F18" s="28"/>
      <c r="G18" s="28"/>
      <c r="H18" s="28"/>
      <c r="I18" s="28"/>
      <c r="J18" s="28"/>
      <c r="K18" s="28"/>
      <c r="L18" s="28"/>
      <c r="M18" s="28"/>
      <c r="N18" s="28"/>
      <c r="O18" s="28"/>
      <c r="P18" s="28"/>
      <c r="Q18" s="28"/>
      <c r="R18" s="28"/>
      <c r="S18" s="28"/>
      <c r="T18" s="28"/>
      <c r="U18" s="28"/>
      <c r="V18" s="28"/>
      <c r="W18" s="28"/>
      <c r="X18" s="28"/>
      <c r="Y18" s="28"/>
    </row>
    <row r="19" customFormat="false" ht="15" hidden="false" customHeight="false" outlineLevel="0" collapsed="false">
      <c r="A19" s="4" t="s">
        <v>358</v>
      </c>
      <c r="B19" s="19" t="n">
        <f aca="false">B17*'اقتصاد واحد'!$E$11*B7*B8</f>
        <v>0</v>
      </c>
      <c r="C19" s="19" t="n">
        <f aca="false">C17*'اقتصاد واحد'!$E$11*C7*C8</f>
        <v>0</v>
      </c>
      <c r="D19" s="19" t="n">
        <f aca="false">D17*'اقتصاد واحد'!$E$11*D7*D8</f>
        <v>0</v>
      </c>
      <c r="E19" s="19" t="n">
        <f aca="false">E17*'اقتصاد واحد'!$E$11*E7*E8</f>
        <v>0</v>
      </c>
      <c r="F19" s="19" t="n">
        <f aca="false">F17*'اقتصاد واحد'!$E$11*F7*F8</f>
        <v>0</v>
      </c>
      <c r="G19" s="19" t="n">
        <f aca="false">G17*'اقتصاد واحد'!$E$11*G7*G8</f>
        <v>0</v>
      </c>
      <c r="H19" s="19" t="n">
        <f aca="false">H17*'اقتصاد واحد'!$E$11*H7*H8</f>
        <v>0</v>
      </c>
      <c r="I19" s="19" t="n">
        <f aca="false">I17*'اقتصاد واحد'!$E$11*I7*I8</f>
        <v>882.52416</v>
      </c>
      <c r="J19" s="19" t="n">
        <f aca="false">J17*'اقتصاد واحد'!$E$11*J7*J8</f>
        <v>882.52416</v>
      </c>
      <c r="K19" s="19" t="n">
        <f aca="false">K17*'اقتصاد واحد'!$E$11*K7*K8</f>
        <v>882.52416</v>
      </c>
      <c r="L19" s="19" t="n">
        <f aca="false">L17*'اقتصاد واحد'!$E$11*L7*L8</f>
        <v>2206.3104</v>
      </c>
      <c r="M19" s="19" t="n">
        <f aca="false">M17*'اقتصاد واحد'!$E$11*M7*M8</f>
        <v>2206.3104</v>
      </c>
      <c r="N19" s="19" t="n">
        <f aca="false">N17*'اقتصاد واحد'!$E$11*N7*N8</f>
        <v>2978.51904</v>
      </c>
      <c r="O19" s="19" t="n">
        <f aca="false">O17*'اقتصاد واحد'!$E$11*O7*O8</f>
        <v>2978.51904</v>
      </c>
      <c r="P19" s="19" t="n">
        <f aca="false">P17*'اقتصاد واحد'!$E$11*P7*P8</f>
        <v>2978.51904</v>
      </c>
      <c r="Q19" s="19" t="n">
        <f aca="false">Q17*'اقتصاد واحد'!$E$11*Q7*Q8</f>
        <v>2978.51904</v>
      </c>
      <c r="R19" s="19" t="n">
        <f aca="false">R17*'اقتصاد واحد'!$E$11*R7*R8</f>
        <v>2978.51904</v>
      </c>
      <c r="S19" s="19" t="n">
        <f aca="false">S17*'اقتصاد واحد'!$E$11*S7*S8</f>
        <v>2978.51904</v>
      </c>
      <c r="T19" s="19" t="n">
        <f aca="false">T17*'اقتصاد واحد'!$E$11*T7*T8</f>
        <v>3971.35872</v>
      </c>
      <c r="U19" s="19" t="n">
        <f aca="false">U17*'اقتصاد واحد'!$E$11*U7*U8</f>
        <v>3971.35872</v>
      </c>
      <c r="V19" s="19" t="n">
        <f aca="false">V17*'اقتصاد واحد'!$E$11*V7*V8</f>
        <v>3971.35872</v>
      </c>
      <c r="W19" s="19" t="n">
        <f aca="false">W17*'اقتصاد واحد'!$E$11*W7*W8</f>
        <v>3971.35872</v>
      </c>
      <c r="X19" s="19" t="n">
        <f aca="false">X17*'اقتصاد واحد'!$E$11*X7*X8</f>
        <v>3971.35872</v>
      </c>
      <c r="Y19" s="19" t="n">
        <f aca="false">Y17*'اقتصاد واحد'!$E$11*Y7*Y8</f>
        <v>3971.35872</v>
      </c>
    </row>
    <row r="20" customFormat="false" ht="15" hidden="false" customHeight="false" outlineLevel="0" collapsed="false">
      <c r="A20" s="4" t="s">
        <v>359</v>
      </c>
      <c r="B20" s="19" t="n">
        <f aca="false">B16*'اقتصاد واحد'!$E$12*B7</f>
        <v>0</v>
      </c>
      <c r="C20" s="19" t="n">
        <f aca="false">C16*'اقتصاد واحد'!$E$12*C7</f>
        <v>0</v>
      </c>
      <c r="D20" s="19" t="n">
        <f aca="false">D16*'اقتصاد واحد'!$E$12*D7</f>
        <v>0</v>
      </c>
      <c r="E20" s="19" t="n">
        <f aca="false">E16*'اقتصاد واحد'!$E$12*E7</f>
        <v>0</v>
      </c>
      <c r="F20" s="19" t="n">
        <f aca="false">F16*'اقتصاد واحد'!$E$12*F7</f>
        <v>0</v>
      </c>
      <c r="G20" s="19" t="n">
        <f aca="false">G16*'اقتصاد واحد'!$E$12*G7</f>
        <v>0</v>
      </c>
      <c r="H20" s="19" t="n">
        <f aca="false">H16*'اقتصاد واحد'!$E$12*H7</f>
        <v>0</v>
      </c>
      <c r="I20" s="19" t="n">
        <f aca="false">I16*'اقتصاد واحد'!$E$12*I7</f>
        <v>283.5</v>
      </c>
      <c r="J20" s="19" t="n">
        <f aca="false">J16*'اقتصاد واحد'!$E$12*J7</f>
        <v>283.5</v>
      </c>
      <c r="K20" s="19" t="n">
        <f aca="false">K16*'اقتصاد واحد'!$E$12*K7</f>
        <v>283.5</v>
      </c>
      <c r="L20" s="19" t="n">
        <f aca="false">L16*'اقتصاد واحد'!$E$12*L7</f>
        <v>283.5</v>
      </c>
      <c r="M20" s="19" t="n">
        <f aca="false">M16*'اقتصاد واحد'!$E$12*M7</f>
        <v>283.5</v>
      </c>
      <c r="N20" s="19" t="n">
        <f aca="false">N16*'اقتصاد واحد'!$E$12*N7</f>
        <v>382.725</v>
      </c>
      <c r="O20" s="19" t="n">
        <f aca="false">O16*'اقتصاد واحد'!$E$12*O7</f>
        <v>382.725</v>
      </c>
      <c r="P20" s="19" t="n">
        <f aca="false">P16*'اقتصاد واحد'!$E$12*P7</f>
        <v>382.725</v>
      </c>
      <c r="Q20" s="19" t="n">
        <f aca="false">Q16*'اقتصاد واحد'!$E$12*Q7</f>
        <v>382.725</v>
      </c>
      <c r="R20" s="19" t="n">
        <f aca="false">R16*'اقتصاد واحد'!$E$12*R7</f>
        <v>382.725</v>
      </c>
      <c r="S20" s="19" t="n">
        <f aca="false">S16*'اقتصاد واحد'!$E$12*S7</f>
        <v>382.725</v>
      </c>
      <c r="T20" s="19" t="n">
        <f aca="false">T16*'اقتصاد واحد'!$E$12*T7</f>
        <v>382.725</v>
      </c>
      <c r="U20" s="19" t="n">
        <f aca="false">U16*'اقتصاد واحد'!$E$12*U7</f>
        <v>382.725</v>
      </c>
      <c r="V20" s="19" t="n">
        <f aca="false">V16*'اقتصاد واحد'!$E$12*V7</f>
        <v>382.725</v>
      </c>
      <c r="W20" s="19" t="n">
        <f aca="false">W16*'اقتصاد واحد'!$E$12*W7</f>
        <v>382.725</v>
      </c>
      <c r="X20" s="19" t="n">
        <f aca="false">X16*'اقتصاد واحد'!$E$12*X7</f>
        <v>382.725</v>
      </c>
      <c r="Y20" s="19" t="n">
        <f aca="false">Y16*'اقتصاد واحد'!$E$12*Y7</f>
        <v>382.725</v>
      </c>
    </row>
    <row r="21" customFormat="false" ht="15" hidden="false" customHeight="false" outlineLevel="0" collapsed="false">
      <c r="A21" s="17" t="s">
        <v>360</v>
      </c>
      <c r="B21" s="13" t="n">
        <f aca="false">B19+B20</f>
        <v>0</v>
      </c>
      <c r="C21" s="13" t="n">
        <f aca="false">C19+C20</f>
        <v>0</v>
      </c>
      <c r="D21" s="13" t="n">
        <f aca="false">D19+D20</f>
        <v>0</v>
      </c>
      <c r="E21" s="13" t="n">
        <f aca="false">E19+E20</f>
        <v>0</v>
      </c>
      <c r="F21" s="13" t="n">
        <f aca="false">F19+F20</f>
        <v>0</v>
      </c>
      <c r="G21" s="13" t="n">
        <f aca="false">G19+G20</f>
        <v>0</v>
      </c>
      <c r="H21" s="13" t="n">
        <f aca="false">H19+H20</f>
        <v>0</v>
      </c>
      <c r="I21" s="13" t="n">
        <f aca="false">I19+I20</f>
        <v>1166.02416</v>
      </c>
      <c r="J21" s="13" t="n">
        <f aca="false">J19+J20</f>
        <v>1166.02416</v>
      </c>
      <c r="K21" s="13" t="n">
        <f aca="false">K19+K20</f>
        <v>1166.02416</v>
      </c>
      <c r="L21" s="13" t="n">
        <f aca="false">L19+L20</f>
        <v>2489.8104</v>
      </c>
      <c r="M21" s="13" t="n">
        <f aca="false">M19+M20</f>
        <v>2489.8104</v>
      </c>
      <c r="N21" s="13" t="n">
        <f aca="false">N19+N20</f>
        <v>3361.24404</v>
      </c>
      <c r="O21" s="13" t="n">
        <f aca="false">O19+O20</f>
        <v>3361.24404</v>
      </c>
      <c r="P21" s="13" t="n">
        <f aca="false">P19+P20</f>
        <v>3361.24404</v>
      </c>
      <c r="Q21" s="13" t="n">
        <f aca="false">Q19+Q20</f>
        <v>3361.24404</v>
      </c>
      <c r="R21" s="13" t="n">
        <f aca="false">R19+R20</f>
        <v>3361.24404</v>
      </c>
      <c r="S21" s="13" t="n">
        <f aca="false">S19+S20</f>
        <v>3361.24404</v>
      </c>
      <c r="T21" s="13" t="n">
        <f aca="false">T19+T20</f>
        <v>4354.08372</v>
      </c>
      <c r="U21" s="13" t="n">
        <f aca="false">U19+U20</f>
        <v>4354.08372</v>
      </c>
      <c r="V21" s="13" t="n">
        <f aca="false">V19+V20</f>
        <v>4354.08372</v>
      </c>
      <c r="W21" s="13" t="n">
        <f aca="false">W19+W20</f>
        <v>4354.08372</v>
      </c>
      <c r="X21" s="13" t="n">
        <f aca="false">X19+X20</f>
        <v>4354.08372</v>
      </c>
      <c r="Y21" s="13" t="n">
        <f aca="false">Y19+Y20</f>
        <v>4354.08372</v>
      </c>
    </row>
    <row r="22" customFormat="false" ht="15" hidden="false" customHeight="false" outlineLevel="0" collapsed="false">
      <c r="A22" s="27" t="s">
        <v>361</v>
      </c>
      <c r="B22" s="28"/>
      <c r="C22" s="28"/>
      <c r="D22" s="28"/>
      <c r="E22" s="28"/>
      <c r="F22" s="28"/>
      <c r="G22" s="28"/>
      <c r="H22" s="28"/>
      <c r="I22" s="28"/>
      <c r="J22" s="28"/>
      <c r="K22" s="28"/>
      <c r="L22" s="28"/>
      <c r="M22" s="28"/>
      <c r="N22" s="28"/>
      <c r="O22" s="28"/>
      <c r="P22" s="28"/>
      <c r="Q22" s="28"/>
      <c r="R22" s="28"/>
      <c r="S22" s="28"/>
      <c r="T22" s="28"/>
      <c r="U22" s="28"/>
      <c r="V22" s="28"/>
      <c r="W22" s="28"/>
      <c r="X22" s="28"/>
      <c r="Y22" s="28"/>
    </row>
    <row r="23" customFormat="false" ht="15" hidden="false" customHeight="false" outlineLevel="0" collapsed="false">
      <c r="A23" s="4" t="s">
        <v>362</v>
      </c>
      <c r="B23" s="19" t="n">
        <f aca="false">('مفروضات مشترک'!$B$52*B6)*(IF(AND(1&gt;'مفروضات مشترک'!$B$16-'مفروضات مشترک'!$B$23-1,1&lt;='مفروضات مشترک'!$B$16-1),'مفروضات مشترک'!$B$20/'مفروضات مشترک'!$B$23,0)+IF(AND(1&gt;'مفروضات مشترک'!$B$17-'مفروضات مشترک'!$B$23-1,1&lt;='مفروضات مشترک'!$B$17-1),'مفروضات مشترک'!$B$21/'مفروضات مشترک'!$B$23,0)+IF(AND(1&gt;'مفروضات مشترک'!$B$18-'مفروضات مشترک'!$B$23-1,1&lt;='مفروضات مشترک'!$B$18-1),'مفروضات مشترک'!$B$22/'مفروضات مشترک'!$B$23,0))</f>
        <v>414.4</v>
      </c>
      <c r="C23" s="19" t="n">
        <f aca="false">('مفروضات مشترک'!$B$52*C6)*(IF(AND(2&gt;'مفروضات مشترک'!$B$16-'مفروضات مشترک'!$B$23-1,2&lt;='مفروضات مشترک'!$B$16-1),'مفروضات مشترک'!$B$20/'مفروضات مشترک'!$B$23,0)+IF(AND(2&gt;'مفروضات مشترک'!$B$17-'مفروضات مشترک'!$B$23-1,2&lt;='مفروضات مشترک'!$B$17-1),'مفروضات مشترک'!$B$21/'مفروضات مشترک'!$B$23,0)+IF(AND(2&gt;'مفروضات مشترک'!$B$18-'مفروضات مشترک'!$B$23-1,2&lt;='مفروضات مشترک'!$B$18-1),'مفروضات مشترک'!$B$22/'مفروضات مشترک'!$B$23,0))</f>
        <v>414.4</v>
      </c>
      <c r="D23" s="19" t="n">
        <f aca="false">('مفروضات مشترک'!$B$52*D6)*(IF(AND(3&gt;'مفروضات مشترک'!$B$16-'مفروضات مشترک'!$B$23-1,3&lt;='مفروضات مشترک'!$B$16-1),'مفروضات مشترک'!$B$20/'مفروضات مشترک'!$B$23,0)+IF(AND(3&gt;'مفروضات مشترک'!$B$17-'مفروضات مشترک'!$B$23-1,3&lt;='مفروضات مشترک'!$B$17-1),'مفروضات مشترک'!$B$21/'مفروضات مشترک'!$B$23,0)+IF(AND(3&gt;'مفروضات مشترک'!$B$18-'مفروضات مشترک'!$B$23-1,3&lt;='مفروضات مشترک'!$B$18-1),'مفروضات مشترک'!$B$22/'مفروضات مشترک'!$B$23,0))</f>
        <v>414.4</v>
      </c>
      <c r="E23" s="19" t="n">
        <f aca="false">('مفروضات مشترک'!$B$52*E6)*(IF(AND(4&gt;'مفروضات مشترک'!$B$16-'مفروضات مشترک'!$B$23-1,4&lt;='مفروضات مشترک'!$B$16-1),'مفروضات مشترک'!$B$20/'مفروضات مشترک'!$B$23,0)+IF(AND(4&gt;'مفروضات مشترک'!$B$17-'مفروضات مشترک'!$B$23-1,4&lt;='مفروضات مشترک'!$B$17-1),'مفروضات مشترک'!$B$21/'مفروضات مشترک'!$B$23,0)+IF(AND(4&gt;'مفروضات مشترک'!$B$18-'مفروضات مشترک'!$B$23-1,4&lt;='مفروضات مشترک'!$B$18-1),'مفروضات مشترک'!$B$22/'مفروضات مشترک'!$B$23,0))</f>
        <v>414.4</v>
      </c>
      <c r="F23" s="19" t="n">
        <f aca="false">('مفروضات مشترک'!$B$52*F6)*(IF(AND(5&gt;'مفروضات مشترک'!$B$16-'مفروضات مشترک'!$B$23-1,5&lt;='مفروضات مشترک'!$B$16-1),'مفروضات مشترک'!$B$20/'مفروضات مشترک'!$B$23,0)+IF(AND(5&gt;'مفروضات مشترک'!$B$17-'مفروضات مشترک'!$B$23-1,5&lt;='مفروضات مشترک'!$B$17-1),'مفروضات مشترک'!$B$21/'مفروضات مشترک'!$B$23,0)+IF(AND(5&gt;'مفروضات مشترک'!$B$18-'مفروضات مشترک'!$B$23-1,5&lt;='مفروضات مشترک'!$B$18-1),'مفروضات مشترک'!$B$22/'مفروضات مشترک'!$B$23,0))</f>
        <v>414.4</v>
      </c>
      <c r="G23" s="19" t="n">
        <f aca="false">('مفروضات مشترک'!$B$52*G6)*(IF(AND(6&gt;'مفروضات مشترک'!$B$16-'مفروضات مشترک'!$B$23-1,6&lt;='مفروضات مشترک'!$B$16-1),'مفروضات مشترک'!$B$20/'مفروضات مشترک'!$B$23,0)+IF(AND(6&gt;'مفروضات مشترک'!$B$17-'مفروضات مشترک'!$B$23-1,6&lt;='مفروضات مشترک'!$B$17-1),'مفروضات مشترک'!$B$21/'مفروضات مشترک'!$B$23,0)+IF(AND(6&gt;'مفروضات مشترک'!$B$18-'مفروضات مشترک'!$B$23-1,6&lt;='مفروضات مشترک'!$B$18-1),'مفروضات مشترک'!$B$22/'مفروضات مشترک'!$B$23,0))</f>
        <v>745.92</v>
      </c>
      <c r="H23" s="19" t="n">
        <f aca="false">('مفروضات مشترک'!$B$52*H6)*(IF(AND(7&gt;'مفروضات مشترک'!$B$16-'مفروضات مشترک'!$B$23-1,7&lt;='مفروضات مشترک'!$B$16-1),'مفروضات مشترک'!$B$20/'مفروضات مشترک'!$B$23,0)+IF(AND(7&gt;'مفروضات مشترک'!$B$17-'مفروضات مشترک'!$B$23-1,7&lt;='مفروضات مشترک'!$B$17-1),'مفروضات مشترک'!$B$21/'مفروضات مشترک'!$B$23,0)+IF(AND(7&gt;'مفروضات مشترک'!$B$18-'مفروضات مشترک'!$B$23-1,7&lt;='مفروضات مشترک'!$B$18-1),'مفروضات مشترک'!$B$22/'مفروضات مشترک'!$B$23,0))</f>
        <v>745.92</v>
      </c>
      <c r="I23" s="19" t="n">
        <f aca="false">('مفروضات مشترک'!$B$52*I6)*(IF(AND(8&gt;'مفروضات مشترک'!$B$16-'مفروضات مشترک'!$B$23-1,8&lt;='مفروضات مشترک'!$B$16-1),'مفروضات مشترک'!$B$20/'مفروضات مشترک'!$B$23,0)+IF(AND(8&gt;'مفروضات مشترک'!$B$17-'مفروضات مشترک'!$B$23-1,8&lt;='مفروضات مشترک'!$B$17-1),'مفروضات مشترک'!$B$21/'مفروضات مشترک'!$B$23,0)+IF(AND(8&gt;'مفروضات مشترک'!$B$18-'مفروضات مشترک'!$B$23-1,8&lt;='مفروضات مشترک'!$B$18-1),'مفروضات مشترک'!$B$22/'مفروضات مشترک'!$B$23,0))</f>
        <v>745.92</v>
      </c>
      <c r="J23" s="19" t="n">
        <f aca="false">('مفروضات مشترک'!$B$52*J6)*(IF(AND(9&gt;'مفروضات مشترک'!$B$16-'مفروضات مشترک'!$B$23-1,9&lt;='مفروضات مشترک'!$B$16-1),'مفروضات مشترک'!$B$20/'مفروضات مشترک'!$B$23,0)+IF(AND(9&gt;'مفروضات مشترک'!$B$17-'مفروضات مشترک'!$B$23-1,9&lt;='مفروضات مشترک'!$B$17-1),'مفروضات مشترک'!$B$21/'مفروضات مشترک'!$B$23,0)+IF(AND(9&gt;'مفروضات مشترک'!$B$18-'مفروضات مشترک'!$B$23-1,9&lt;='مفروضات مشترک'!$B$18-1),'مفروضات مشترک'!$B$22/'مفروضات مشترک'!$B$23,0))</f>
        <v>745.92</v>
      </c>
      <c r="K23" s="19" t="n">
        <f aca="false">('مفروضات مشترک'!$B$52*K6)*(IF(AND(10&gt;'مفروضات مشترک'!$B$16-'مفروضات مشترک'!$B$23-1,10&lt;='مفروضات مشترک'!$B$16-1),'مفروضات مشترک'!$B$20/'مفروضات مشترک'!$B$23,0)+IF(AND(10&gt;'مفروضات مشترک'!$B$17-'مفروضات مشترک'!$B$23-1,10&lt;='مفروضات مشترک'!$B$17-1),'مفروضات مشترک'!$B$21/'مفروضات مشترک'!$B$23,0)+IF(AND(10&gt;'مفروضات مشترک'!$B$18-'مفروضات مشترک'!$B$23-1,10&lt;='مفروضات مشترک'!$B$18-1),'مفروضات مشترک'!$B$22/'مفروضات مشترک'!$B$23,0))</f>
        <v>745.92</v>
      </c>
      <c r="L23" s="19" t="n">
        <f aca="false">('مفروضات مشترک'!$B$52*L6)*(IF(AND(11&gt;'مفروضات مشترک'!$B$16-'مفروضات مشترک'!$B$23-1,11&lt;='مفروضات مشترک'!$B$16-1),'مفروضات مشترک'!$B$20/'مفروضات مشترک'!$B$23,0)+IF(AND(11&gt;'مفروضات مشترک'!$B$17-'مفروضات مشترک'!$B$23-1,11&lt;='مفروضات مشترک'!$B$17-1),'مفروضات مشترک'!$B$21/'مفروضات مشترک'!$B$23,0)+IF(AND(11&gt;'مفروضات مشترک'!$B$18-'مفروضات مشترک'!$B$23-1,11&lt;='مفروضات مشترک'!$B$18-1),'مفروضات مشترک'!$B$22/'مفروضات مشترک'!$B$23,0))</f>
        <v>0</v>
      </c>
      <c r="M23" s="19" t="n">
        <f aca="false">('مفروضات مشترک'!$B$52*M6)*(IF(AND(12&gt;'مفروضات مشترک'!$B$16-'مفروضات مشترک'!$B$23-1,12&lt;='مفروضات مشترک'!$B$16-1),'مفروضات مشترک'!$B$20/'مفروضات مشترک'!$B$23,0)+IF(AND(12&gt;'مفروضات مشترک'!$B$17-'مفروضات مشترک'!$B$23-1,12&lt;='مفروضات مشترک'!$B$17-1),'مفروضات مشترک'!$B$21/'مفروضات مشترک'!$B$23,0)+IF(AND(12&gt;'مفروضات مشترک'!$B$18-'مفروضات مشترک'!$B$23-1,12&lt;='مفروضات مشترک'!$B$18-1),'مفروضات مشترک'!$B$22/'مفروضات مشترک'!$B$23,0))</f>
        <v>0</v>
      </c>
      <c r="N23" s="19" t="n">
        <f aca="false">('مفروضات مشترک'!$B$52*N6)*(IF(AND(13&gt;'مفروضات مشترک'!$B$16-'مفروضات مشترک'!$B$23-1,13&lt;='مفروضات مشترک'!$B$16-1),'مفروضات مشترک'!$B$20/'مفروضات مشترک'!$B$23,0)+IF(AND(13&gt;'مفروضات مشترک'!$B$17-'مفروضات مشترک'!$B$23-1,13&lt;='مفروضات مشترک'!$B$17-1),'مفروضات مشترک'!$B$21/'مفروضات مشترک'!$B$23,0)+IF(AND(13&gt;'مفروضات مشترک'!$B$18-'مفروضات مشترک'!$B$23-1,13&lt;='مفروضات مشترک'!$B$18-1),'مفروضات مشترک'!$B$22/'مفروضات مشترک'!$B$23,0))</f>
        <v>0</v>
      </c>
      <c r="O23" s="19" t="n">
        <f aca="false">('مفروضات مشترک'!$B$52*O6)*(IF(AND(14&gt;'مفروضات مشترک'!$B$16-'مفروضات مشترک'!$B$23-1,14&lt;='مفروضات مشترک'!$B$16-1),'مفروضات مشترک'!$B$20/'مفروضات مشترک'!$B$23,0)+IF(AND(14&gt;'مفروضات مشترک'!$B$17-'مفروضات مشترک'!$B$23-1,14&lt;='مفروضات مشترک'!$B$17-1),'مفروضات مشترک'!$B$21/'مفروضات مشترک'!$B$23,0)+IF(AND(14&gt;'مفروضات مشترک'!$B$18-'مفروضات مشترک'!$B$23-1,14&lt;='مفروضات مشترک'!$B$18-1),'مفروضات مشترک'!$B$22/'مفروضات مشترک'!$B$23,0))</f>
        <v>1160.32</v>
      </c>
      <c r="P23" s="19" t="n">
        <f aca="false">('مفروضات مشترک'!$B$52*P6)*(IF(AND(15&gt;'مفروضات مشترک'!$B$16-'مفروضات مشترک'!$B$23-1,15&lt;='مفروضات مشترک'!$B$16-1),'مفروضات مشترک'!$B$20/'مفروضات مشترک'!$B$23,0)+IF(AND(15&gt;'مفروضات مشترک'!$B$17-'مفروضات مشترک'!$B$23-1,15&lt;='مفروضات مشترک'!$B$17-1),'مفروضات مشترک'!$B$21/'مفروضات مشترک'!$B$23,0)+IF(AND(15&gt;'مفروضات مشترک'!$B$18-'مفروضات مشترک'!$B$23-1,15&lt;='مفروضات مشترک'!$B$18-1),'مفروضات مشترک'!$B$22/'مفروضات مشترک'!$B$23,0))</f>
        <v>1160.32</v>
      </c>
      <c r="Q23" s="19" t="n">
        <f aca="false">('مفروضات مشترک'!$B$52*Q6)*(IF(AND(16&gt;'مفروضات مشترک'!$B$16-'مفروضات مشترک'!$B$23-1,16&lt;='مفروضات مشترک'!$B$16-1),'مفروضات مشترک'!$B$20/'مفروضات مشترک'!$B$23,0)+IF(AND(16&gt;'مفروضات مشترک'!$B$17-'مفروضات مشترک'!$B$23-1,16&lt;='مفروضات مشترک'!$B$17-1),'مفروضات مشترک'!$B$21/'مفروضات مشترک'!$B$23,0)+IF(AND(16&gt;'مفروضات مشترک'!$B$18-'مفروضات مشترک'!$B$23-1,16&lt;='مفروضات مشترک'!$B$18-1),'مفروضات مشترک'!$B$22/'مفروضات مشترک'!$B$23,0))</f>
        <v>1160.32</v>
      </c>
      <c r="R23" s="19" t="n">
        <f aca="false">('مفروضات مشترک'!$B$52*R6)*(IF(AND(17&gt;'مفروضات مشترک'!$B$16-'مفروضات مشترک'!$B$23-1,17&lt;='مفروضات مشترک'!$B$16-1),'مفروضات مشترک'!$B$20/'مفروضات مشترک'!$B$23,0)+IF(AND(17&gt;'مفروضات مشترک'!$B$17-'مفروضات مشترک'!$B$23-1,17&lt;='مفروضات مشترک'!$B$17-1),'مفروضات مشترک'!$B$21/'مفروضات مشترک'!$B$23,0)+IF(AND(17&gt;'مفروضات مشترک'!$B$18-'مفروضات مشترک'!$B$23-1,17&lt;='مفروضات مشترک'!$B$18-1),'مفروضات مشترک'!$B$22/'مفروضات مشترک'!$B$23,0))</f>
        <v>1160.32</v>
      </c>
      <c r="S23" s="19" t="n">
        <f aca="false">('مفروضات مشترک'!$B$52*S6)*(IF(AND(18&gt;'مفروضات مشترک'!$B$16-'مفروضات مشترک'!$B$23-1,18&lt;='مفروضات مشترک'!$B$16-1),'مفروضات مشترک'!$B$20/'مفروضات مشترک'!$B$23,0)+IF(AND(18&gt;'مفروضات مشترک'!$B$17-'مفروضات مشترک'!$B$23-1,18&lt;='مفروضات مشترک'!$B$17-1),'مفروضات مشترک'!$B$21/'مفروضات مشترک'!$B$23,0)+IF(AND(18&gt;'مفروضات مشترک'!$B$18-'مفروضات مشترک'!$B$23-1,18&lt;='مفروضات مشترک'!$B$18-1),'مفروضات مشترک'!$B$22/'مفروضات مشترک'!$B$23,0))</f>
        <v>1160.32</v>
      </c>
      <c r="T23" s="19" t="n">
        <f aca="false">('مفروضات مشترک'!$B$52*T6)*(IF(AND(19&gt;'مفروضات مشترک'!$B$16-'مفروضات مشترک'!$B$23-1,19&lt;='مفروضات مشترک'!$B$16-1),'مفروضات مشترک'!$B$20/'مفروضات مشترک'!$B$23,0)+IF(AND(19&gt;'مفروضات مشترک'!$B$17-'مفروضات مشترک'!$B$23-1,19&lt;='مفروضات مشترک'!$B$17-1),'مفروضات مشترک'!$B$21/'مفروضات مشترک'!$B$23,0)+IF(AND(19&gt;'مفروضات مشترک'!$B$18-'مفروضات مشترک'!$B$23-1,19&lt;='مفروضات مشترک'!$B$18-1),'مفروضات مشترک'!$B$22/'مفروضات مشترک'!$B$23,0))</f>
        <v>0</v>
      </c>
      <c r="U23" s="19" t="n">
        <f aca="false">('مفروضات مشترک'!$B$52*U6)*(IF(AND(20&gt;'مفروضات مشترک'!$B$16-'مفروضات مشترک'!$B$23-1,20&lt;='مفروضات مشترک'!$B$16-1),'مفروضات مشترک'!$B$20/'مفروضات مشترک'!$B$23,0)+IF(AND(20&gt;'مفروضات مشترک'!$B$17-'مفروضات مشترک'!$B$23-1,20&lt;='مفروضات مشترک'!$B$17-1),'مفروضات مشترک'!$B$21/'مفروضات مشترک'!$B$23,0)+IF(AND(20&gt;'مفروضات مشترک'!$B$18-'مفروضات مشترک'!$B$23-1,20&lt;='مفروضات مشترک'!$B$18-1),'مفروضات مشترک'!$B$22/'مفروضات مشترک'!$B$23,0))</f>
        <v>0</v>
      </c>
      <c r="V23" s="19" t="n">
        <f aca="false">('مفروضات مشترک'!$B$52*V6)*(IF(AND(21&gt;'مفروضات مشترک'!$B$16-'مفروضات مشترک'!$B$23-1,21&lt;='مفروضات مشترک'!$B$16-1),'مفروضات مشترک'!$B$20/'مفروضات مشترک'!$B$23,0)+IF(AND(21&gt;'مفروضات مشترک'!$B$17-'مفروضات مشترک'!$B$23-1,21&lt;='مفروضات مشترک'!$B$17-1),'مفروضات مشترک'!$B$21/'مفروضات مشترک'!$B$23,0)+IF(AND(21&gt;'مفروضات مشترک'!$B$18-'مفروضات مشترک'!$B$23-1,21&lt;='مفروضات مشترک'!$B$18-1),'مفروضات مشترک'!$B$22/'مفروضات مشترک'!$B$23,0))</f>
        <v>0</v>
      </c>
      <c r="W23" s="19" t="n">
        <f aca="false">('مفروضات مشترک'!$B$52*W6)*(IF(AND(22&gt;'مفروضات مشترک'!$B$16-'مفروضات مشترک'!$B$23-1,22&lt;='مفروضات مشترک'!$B$16-1),'مفروضات مشترک'!$B$20/'مفروضات مشترک'!$B$23,0)+IF(AND(22&gt;'مفروضات مشترک'!$B$17-'مفروضات مشترک'!$B$23-1,22&lt;='مفروضات مشترک'!$B$17-1),'مفروضات مشترک'!$B$21/'مفروضات مشترک'!$B$23,0)+IF(AND(22&gt;'مفروضات مشترک'!$B$18-'مفروضات مشترک'!$B$23-1,22&lt;='مفروضات مشترک'!$B$18-1),'مفروضات مشترک'!$B$22/'مفروضات مشترک'!$B$23,0))</f>
        <v>0</v>
      </c>
      <c r="X23" s="19" t="n">
        <f aca="false">('مفروضات مشترک'!$B$52*X6)*(IF(AND(23&gt;'مفروضات مشترک'!$B$16-'مفروضات مشترک'!$B$23-1,23&lt;='مفروضات مشترک'!$B$16-1),'مفروضات مشترک'!$B$20/'مفروضات مشترک'!$B$23,0)+IF(AND(23&gt;'مفروضات مشترک'!$B$17-'مفروضات مشترک'!$B$23-1,23&lt;='مفروضات مشترک'!$B$17-1),'مفروضات مشترک'!$B$21/'مفروضات مشترک'!$B$23,0)+IF(AND(23&gt;'مفروضات مشترک'!$B$18-'مفروضات مشترک'!$B$23-1,23&lt;='مفروضات مشترک'!$B$18-1),'مفروضات مشترک'!$B$22/'مفروضات مشترک'!$B$23,0))</f>
        <v>0</v>
      </c>
      <c r="Y23" s="19" t="n">
        <f aca="false">('مفروضات مشترک'!$B$52*Y6)*(IF(AND(24&gt;'مفروضات مشترک'!$B$16-'مفروضات مشترک'!$B$23-1,24&lt;='مفروضات مشترک'!$B$16-1),'مفروضات مشترک'!$B$20/'مفروضات مشترک'!$B$23,0)+IF(AND(24&gt;'مفروضات مشترک'!$B$17-'مفروضات مشترک'!$B$23-1,24&lt;='مفروضات مشترک'!$B$17-1),'مفروضات مشترک'!$B$21/'مفروضات مشترک'!$B$23,0)+IF(AND(24&gt;'مفروضات مشترک'!$B$18-'مفروضات مشترک'!$B$23-1,24&lt;='مفروضات مشترک'!$B$18-1),'مفروضات مشترک'!$B$22/'مفروضات مشترک'!$B$23,0))</f>
        <v>0</v>
      </c>
    </row>
    <row r="24" customFormat="false" ht="15" hidden="false" customHeight="false" outlineLevel="0" collapsed="false">
      <c r="A24" s="4" t="s">
        <v>363</v>
      </c>
      <c r="B24" s="19" t="n">
        <f aca="false">B16*'اقتصاد واحد'!$E$28*B6</f>
        <v>0</v>
      </c>
      <c r="C24" s="19" t="n">
        <f aca="false">C16*'اقتصاد واحد'!$E$28*C6</f>
        <v>0</v>
      </c>
      <c r="D24" s="19" t="n">
        <f aca="false">D16*'اقتصاد واحد'!$E$28*D6</f>
        <v>0</v>
      </c>
      <c r="E24" s="19" t="n">
        <f aca="false">E16*'اقتصاد واحد'!$E$28*E6</f>
        <v>0</v>
      </c>
      <c r="F24" s="19" t="n">
        <f aca="false">F16*'اقتصاد واحد'!$E$28*F6</f>
        <v>0</v>
      </c>
      <c r="G24" s="19" t="n">
        <f aca="false">G16*'اقتصاد واحد'!$E$28*G6</f>
        <v>0</v>
      </c>
      <c r="H24" s="19" t="n">
        <f aca="false">H16*'اقتصاد واحد'!$E$28*H6</f>
        <v>0</v>
      </c>
      <c r="I24" s="19" t="n">
        <f aca="false">I16*'اقتصاد واحد'!$E$28*I6</f>
        <v>203.127272727273</v>
      </c>
      <c r="J24" s="19" t="n">
        <f aca="false">J16*'اقتصاد واحد'!$E$28*J6</f>
        <v>203.127272727273</v>
      </c>
      <c r="K24" s="19" t="n">
        <f aca="false">K16*'اقتصاد واحد'!$E$28*K6</f>
        <v>203.127272727273</v>
      </c>
      <c r="L24" s="19" t="n">
        <f aca="false">L16*'اقتصاد واحد'!$E$28*L6</f>
        <v>203.127272727273</v>
      </c>
      <c r="M24" s="19" t="n">
        <f aca="false">M16*'اقتصاد واحد'!$E$28*M6</f>
        <v>203.127272727273</v>
      </c>
      <c r="N24" s="19" t="n">
        <f aca="false">N16*'اقتصاد واحد'!$E$28*N6</f>
        <v>284.378181818182</v>
      </c>
      <c r="O24" s="19" t="n">
        <f aca="false">O16*'اقتصاد واحد'!$E$28*O6</f>
        <v>284.378181818182</v>
      </c>
      <c r="P24" s="19" t="n">
        <f aca="false">P16*'اقتصاد واحد'!$E$28*P6</f>
        <v>284.378181818182</v>
      </c>
      <c r="Q24" s="19" t="n">
        <f aca="false">Q16*'اقتصاد واحد'!$E$28*Q6</f>
        <v>284.378181818182</v>
      </c>
      <c r="R24" s="19" t="n">
        <f aca="false">R16*'اقتصاد واحد'!$E$28*R6</f>
        <v>284.378181818182</v>
      </c>
      <c r="S24" s="19" t="n">
        <f aca="false">S16*'اقتصاد واحد'!$E$28*S6</f>
        <v>284.378181818182</v>
      </c>
      <c r="T24" s="19" t="n">
        <f aca="false">T16*'اقتصاد واحد'!$E$28*T6</f>
        <v>284.378181818182</v>
      </c>
      <c r="U24" s="19" t="n">
        <f aca="false">U16*'اقتصاد واحد'!$E$28*U6</f>
        <v>284.378181818182</v>
      </c>
      <c r="V24" s="19" t="n">
        <f aca="false">V16*'اقتصاد واحد'!$E$28*V6</f>
        <v>284.378181818182</v>
      </c>
      <c r="W24" s="19" t="n">
        <f aca="false">W16*'اقتصاد واحد'!$E$28*W6</f>
        <v>284.378181818182</v>
      </c>
      <c r="X24" s="19" t="n">
        <f aca="false">X16*'اقتصاد واحد'!$E$28*X6</f>
        <v>284.378181818182</v>
      </c>
      <c r="Y24" s="19" t="n">
        <f aca="false">Y16*'اقتصاد واحد'!$E$28*Y6</f>
        <v>284.378181818182</v>
      </c>
    </row>
    <row r="25" customFormat="false" ht="15" hidden="false" customHeight="false" outlineLevel="0" collapsed="false">
      <c r="A25" s="4" t="s">
        <v>364</v>
      </c>
      <c r="B25" s="19" t="n">
        <f aca="false">B17*'اقتصاد واحد'!$E$18*B6*MAX(0.5,B8)</f>
        <v>0</v>
      </c>
      <c r="C25" s="19" t="n">
        <f aca="false">C17*'اقتصاد واحد'!$E$18*C6*MAX(0.5,C8)</f>
        <v>0</v>
      </c>
      <c r="D25" s="19" t="n">
        <f aca="false">D17*'اقتصاد واحد'!$E$18*D6*MAX(0.5,D8)</f>
        <v>0</v>
      </c>
      <c r="E25" s="19" t="n">
        <f aca="false">E17*'اقتصاد واحد'!$E$18*E6*MAX(0.5,E8)</f>
        <v>0</v>
      </c>
      <c r="F25" s="19" t="n">
        <f aca="false">F17*'اقتصاد واحد'!$E$18*F6*MAX(0.5,F8)</f>
        <v>0</v>
      </c>
      <c r="G25" s="19" t="n">
        <f aca="false">G17*'اقتصاد واحد'!$E$18*G6*MAX(0.5,G8)</f>
        <v>0</v>
      </c>
      <c r="H25" s="19" t="n">
        <f aca="false">H17*'اقتصاد واحد'!$E$18*H6*MAX(0.5,H8)</f>
        <v>0</v>
      </c>
      <c r="I25" s="19" t="n">
        <f aca="false">I17*'اقتصاد واحد'!$E$18*I6*MAX(0.5,I8)</f>
        <v>91.3971421866667</v>
      </c>
      <c r="J25" s="19" t="n">
        <f aca="false">J17*'اقتصاد واحد'!$E$18*J6*MAX(0.5,J8)</f>
        <v>91.3971421866667</v>
      </c>
      <c r="K25" s="19" t="n">
        <f aca="false">K17*'اقتصاد واحد'!$E$18*K6*MAX(0.5,K8)</f>
        <v>91.3971421866667</v>
      </c>
      <c r="L25" s="19" t="n">
        <f aca="false">L17*'اقتصاد واحد'!$E$18*L6*MAX(0.5,L8)</f>
        <v>137.09571328</v>
      </c>
      <c r="M25" s="19" t="n">
        <f aca="false">M17*'اقتصاد واحد'!$E$18*M6*MAX(0.5,M8)</f>
        <v>137.09571328</v>
      </c>
      <c r="N25" s="19" t="n">
        <f aca="false">N17*'اقتصاد واحد'!$E$18*N6*MAX(0.5,N8)</f>
        <v>191.933998592</v>
      </c>
      <c r="O25" s="19" t="n">
        <f aca="false">O17*'اقتصاد واحد'!$E$18*O6*MAX(0.5,O8)</f>
        <v>191.933998592</v>
      </c>
      <c r="P25" s="19" t="n">
        <f aca="false">P17*'اقتصاد واحد'!$E$18*P6*MAX(0.5,P8)</f>
        <v>191.933998592</v>
      </c>
      <c r="Q25" s="19" t="n">
        <f aca="false">Q17*'اقتصاد واحد'!$E$18*Q6*MAX(0.5,Q8)</f>
        <v>191.933998592</v>
      </c>
      <c r="R25" s="19" t="n">
        <f aca="false">R17*'اقتصاد واحد'!$E$18*R6*MAX(0.5,R8)</f>
        <v>191.933998592</v>
      </c>
      <c r="S25" s="19" t="n">
        <f aca="false">S17*'اقتصاد واحد'!$E$18*S6*MAX(0.5,S8)</f>
        <v>191.933998592</v>
      </c>
      <c r="T25" s="19" t="n">
        <f aca="false">T17*'اقتصاد واحد'!$E$18*T6*MAX(0.5,T8)</f>
        <v>255.911998122667</v>
      </c>
      <c r="U25" s="19" t="n">
        <f aca="false">U17*'اقتصاد واحد'!$E$18*U6*MAX(0.5,U8)</f>
        <v>255.911998122667</v>
      </c>
      <c r="V25" s="19" t="n">
        <f aca="false">V17*'اقتصاد واحد'!$E$18*V6*MAX(0.5,V8)</f>
        <v>255.911998122667</v>
      </c>
      <c r="W25" s="19" t="n">
        <f aca="false">W17*'اقتصاد واحد'!$E$18*W6*MAX(0.5,W8)</f>
        <v>255.911998122667</v>
      </c>
      <c r="X25" s="19" t="n">
        <f aca="false">X17*'اقتصاد واحد'!$E$18*X6*MAX(0.5,X8)</f>
        <v>255.911998122667</v>
      </c>
      <c r="Y25" s="19" t="n">
        <f aca="false">Y17*'اقتصاد واحد'!$E$18*Y6*MAX(0.5,Y8)</f>
        <v>255.911998122667</v>
      </c>
    </row>
    <row r="26" customFormat="false" ht="15" hidden="false" customHeight="false" outlineLevel="0" collapsed="false">
      <c r="A26" s="4" t="s">
        <v>365</v>
      </c>
      <c r="B26" s="19" t="n">
        <f aca="false">B16*'مفروضات مشترک'!$B$39*B6</f>
        <v>0</v>
      </c>
      <c r="C26" s="19" t="n">
        <f aca="false">C16*'مفروضات مشترک'!$B$39*C6</f>
        <v>0</v>
      </c>
      <c r="D26" s="19" t="n">
        <f aca="false">D16*'مفروضات مشترک'!$B$39*D6</f>
        <v>0</v>
      </c>
      <c r="E26" s="19" t="n">
        <f aca="false">E16*'مفروضات مشترک'!$B$39*E6</f>
        <v>0</v>
      </c>
      <c r="F26" s="19" t="n">
        <f aca="false">F16*'مفروضات مشترک'!$B$39*F6</f>
        <v>0</v>
      </c>
      <c r="G26" s="19" t="n">
        <f aca="false">G16*'مفروضات مشترک'!$B$39*G6</f>
        <v>0</v>
      </c>
      <c r="H26" s="19" t="n">
        <f aca="false">H16*'مفروضات مشترک'!$B$39*H6</f>
        <v>0</v>
      </c>
      <c r="I26" s="19" t="n">
        <f aca="false">I16*'مفروضات مشترک'!$B$39*I6</f>
        <v>75.6</v>
      </c>
      <c r="J26" s="19" t="n">
        <f aca="false">J16*'مفروضات مشترک'!$B$39*J6</f>
        <v>75.6</v>
      </c>
      <c r="K26" s="19" t="n">
        <f aca="false">K16*'مفروضات مشترک'!$B$39*K6</f>
        <v>75.6</v>
      </c>
      <c r="L26" s="19" t="n">
        <f aca="false">L16*'مفروضات مشترک'!$B$39*L6</f>
        <v>75.6</v>
      </c>
      <c r="M26" s="19" t="n">
        <f aca="false">M16*'مفروضات مشترک'!$B$39*M6</f>
        <v>75.6</v>
      </c>
      <c r="N26" s="19" t="n">
        <f aca="false">N16*'مفروضات مشترک'!$B$39*N6</f>
        <v>105.84</v>
      </c>
      <c r="O26" s="19" t="n">
        <f aca="false">O16*'مفروضات مشترک'!$B$39*O6</f>
        <v>105.84</v>
      </c>
      <c r="P26" s="19" t="n">
        <f aca="false">P16*'مفروضات مشترک'!$B$39*P6</f>
        <v>105.84</v>
      </c>
      <c r="Q26" s="19" t="n">
        <f aca="false">Q16*'مفروضات مشترک'!$B$39*Q6</f>
        <v>105.84</v>
      </c>
      <c r="R26" s="19" t="n">
        <f aca="false">R16*'مفروضات مشترک'!$B$39*R6</f>
        <v>105.84</v>
      </c>
      <c r="S26" s="19" t="n">
        <f aca="false">S16*'مفروضات مشترک'!$B$39*S6</f>
        <v>105.84</v>
      </c>
      <c r="T26" s="19" t="n">
        <f aca="false">T16*'مفروضات مشترک'!$B$39*T6</f>
        <v>105.84</v>
      </c>
      <c r="U26" s="19" t="n">
        <f aca="false">U16*'مفروضات مشترک'!$B$39*U6</f>
        <v>105.84</v>
      </c>
      <c r="V26" s="19" t="n">
        <f aca="false">V16*'مفروضات مشترک'!$B$39*V6</f>
        <v>105.84</v>
      </c>
      <c r="W26" s="19" t="n">
        <f aca="false">W16*'مفروضات مشترک'!$B$39*W6</f>
        <v>105.84</v>
      </c>
      <c r="X26" s="19" t="n">
        <f aca="false">X16*'مفروضات مشترک'!$B$39*X6</f>
        <v>105.84</v>
      </c>
      <c r="Y26" s="19" t="n">
        <f aca="false">Y16*'مفروضات مشترک'!$B$39*Y6</f>
        <v>105.84</v>
      </c>
    </row>
    <row r="27" customFormat="false" ht="15" hidden="false" customHeight="false" outlineLevel="0" collapsed="false">
      <c r="A27" s="4" t="s">
        <v>366</v>
      </c>
      <c r="B27" s="19" t="n">
        <f aca="false">IF(1&gt;='مفروضات مشترک'!$B$16,سناریوها!$E$18*'مفروضات مشترک'!$B$53*B6*MAX(0.6,B8),0)</f>
        <v>0</v>
      </c>
      <c r="C27" s="19" t="n">
        <f aca="false">IF(2&gt;='مفروضات مشترک'!$B$16,سناریوها!$E$18*'مفروضات مشترک'!$B$53*C6*MAX(0.6,C8),0)</f>
        <v>0</v>
      </c>
      <c r="D27" s="19" t="n">
        <f aca="false">IF(3&gt;='مفروضات مشترک'!$B$16,سناریوها!$E$18*'مفروضات مشترک'!$B$53*D6*MAX(0.6,D8),0)</f>
        <v>0</v>
      </c>
      <c r="E27" s="19" t="n">
        <f aca="false">IF(4&gt;='مفروضات مشترک'!$B$16,سناریوها!$E$18*'مفروضات مشترک'!$B$53*E6*MAX(0.6,E8),0)</f>
        <v>0</v>
      </c>
      <c r="F27" s="19" t="n">
        <f aca="false">IF(5&gt;='مفروضات مشترک'!$B$16,سناریوها!$E$18*'مفروضات مشترک'!$B$53*F6*MAX(0.6,F8),0)</f>
        <v>0</v>
      </c>
      <c r="G27" s="19" t="n">
        <f aca="false">IF(6&gt;='مفروضات مشترک'!$B$16,سناریوها!$E$18*'مفروضات مشترک'!$B$53*G6*MAX(0.6,G8),0)</f>
        <v>319.2</v>
      </c>
      <c r="H27" s="19" t="n">
        <f aca="false">IF(7&gt;='مفروضات مشترک'!$B$16,سناریوها!$E$18*'مفروضات مشترک'!$B$53*H6*MAX(0.6,H8),0)</f>
        <v>319.2</v>
      </c>
      <c r="I27" s="19" t="n">
        <f aca="false">IF(8&gt;='مفروضات مشترک'!$B$16,سناریوها!$E$18*'مفروضات مشترک'!$B$53*I6*MAX(0.6,I8),0)</f>
        <v>319.2</v>
      </c>
      <c r="J27" s="19" t="n">
        <f aca="false">IF(9&gt;='مفروضات مشترک'!$B$16,سناریوها!$E$18*'مفروضات مشترک'!$B$53*J6*MAX(0.6,J8),0)</f>
        <v>319.2</v>
      </c>
      <c r="K27" s="19" t="n">
        <f aca="false">IF(10&gt;='مفروضات مشترک'!$B$16,سناریوها!$E$18*'مفروضات مشترک'!$B$53*K6*MAX(0.6,K8),0)</f>
        <v>319.2</v>
      </c>
      <c r="L27" s="19" t="n">
        <f aca="false">IF(11&gt;='مفروضات مشترک'!$B$16,سناریوها!$E$18*'مفروضات مشترک'!$B$53*L6*MAX(0.6,L8),0)</f>
        <v>399</v>
      </c>
      <c r="M27" s="19" t="n">
        <f aca="false">IF(12&gt;='مفروضات مشترک'!$B$16,سناریوها!$E$18*'مفروضات مشترک'!$B$53*M6*MAX(0.6,M8),0)</f>
        <v>399</v>
      </c>
      <c r="N27" s="19" t="n">
        <f aca="false">IF(13&gt;='مفروضات مشترک'!$B$16,سناریوها!$E$18*'مفروضات مشترک'!$B$53*N6*MAX(0.6,N8),0)</f>
        <v>558.6</v>
      </c>
      <c r="O27" s="19" t="n">
        <f aca="false">IF(14&gt;='مفروضات مشترک'!$B$16,سناریوها!$E$18*'مفروضات مشترک'!$B$53*O6*MAX(0.6,O8),0)</f>
        <v>558.6</v>
      </c>
      <c r="P27" s="19" t="n">
        <f aca="false">IF(15&gt;='مفروضات مشترک'!$B$16,سناریوها!$E$18*'مفروضات مشترک'!$B$53*P6*MAX(0.6,P8),0)</f>
        <v>558.6</v>
      </c>
      <c r="Q27" s="19" t="n">
        <f aca="false">IF(16&gt;='مفروضات مشترک'!$B$16,سناریوها!$E$18*'مفروضات مشترک'!$B$53*Q6*MAX(0.6,Q8),0)</f>
        <v>558.6</v>
      </c>
      <c r="R27" s="19" t="n">
        <f aca="false">IF(17&gt;='مفروضات مشترک'!$B$16,سناریوها!$E$18*'مفروضات مشترک'!$B$53*R6*MAX(0.6,R8),0)</f>
        <v>558.6</v>
      </c>
      <c r="S27" s="19" t="n">
        <f aca="false">IF(18&gt;='مفروضات مشترک'!$B$16,سناریوها!$E$18*'مفروضات مشترک'!$B$53*S6*MAX(0.6,S8),0)</f>
        <v>558.6</v>
      </c>
      <c r="T27" s="19" t="n">
        <f aca="false">IF(19&gt;='مفروضات مشترک'!$B$16,سناریوها!$E$18*'مفروضات مشترک'!$B$53*T6*MAX(0.6,T8),0)</f>
        <v>744.8</v>
      </c>
      <c r="U27" s="19" t="n">
        <f aca="false">IF(20&gt;='مفروضات مشترک'!$B$16,سناریوها!$E$18*'مفروضات مشترک'!$B$53*U6*MAX(0.6,U8),0)</f>
        <v>744.8</v>
      </c>
      <c r="V27" s="19" t="n">
        <f aca="false">IF(21&gt;='مفروضات مشترک'!$B$16,سناریوها!$E$18*'مفروضات مشترک'!$B$53*V6*MAX(0.6,V8),0)</f>
        <v>744.8</v>
      </c>
      <c r="W27" s="19" t="n">
        <f aca="false">IF(22&gt;='مفروضات مشترک'!$B$16,سناریوها!$E$18*'مفروضات مشترک'!$B$53*W6*MAX(0.6,W8),0)</f>
        <v>744.8</v>
      </c>
      <c r="X27" s="19" t="n">
        <f aca="false">IF(23&gt;='مفروضات مشترک'!$B$16,سناریوها!$E$18*'مفروضات مشترک'!$B$53*X6*MAX(0.6,X8),0)</f>
        <v>744.8</v>
      </c>
      <c r="Y27" s="19" t="n">
        <f aca="false">IF(24&gt;='مفروضات مشترک'!$B$16,سناریوها!$E$18*'مفروضات مشترک'!$B$53*Y6*MAX(0.6,Y8),0)</f>
        <v>744.8</v>
      </c>
    </row>
    <row r="28" customFormat="false" ht="15" hidden="false" customHeight="false" outlineLevel="0" collapsed="false">
      <c r="A28" s="17" t="s">
        <v>367</v>
      </c>
      <c r="B28" s="13" t="n">
        <f aca="false">SUM(B23:B27)</f>
        <v>414.4</v>
      </c>
      <c r="C28" s="13" t="n">
        <f aca="false">SUM(C23:C27)</f>
        <v>414.4</v>
      </c>
      <c r="D28" s="13" t="n">
        <f aca="false">SUM(D23:D27)</f>
        <v>414.4</v>
      </c>
      <c r="E28" s="13" t="n">
        <f aca="false">SUM(E23:E27)</f>
        <v>414.4</v>
      </c>
      <c r="F28" s="13" t="n">
        <f aca="false">SUM(F23:F27)</f>
        <v>414.4</v>
      </c>
      <c r="G28" s="13" t="n">
        <f aca="false">SUM(G23:G27)</f>
        <v>1065.12</v>
      </c>
      <c r="H28" s="13" t="n">
        <f aca="false">SUM(H23:H27)</f>
        <v>1065.12</v>
      </c>
      <c r="I28" s="13" t="n">
        <f aca="false">SUM(I23:I27)</f>
        <v>1435.24441491394</v>
      </c>
      <c r="J28" s="13" t="n">
        <f aca="false">SUM(J23:J27)</f>
        <v>1435.24441491394</v>
      </c>
      <c r="K28" s="13" t="n">
        <f aca="false">SUM(K23:K27)</f>
        <v>1435.24441491394</v>
      </c>
      <c r="L28" s="13" t="n">
        <f aca="false">SUM(L23:L27)</f>
        <v>814.822986007273</v>
      </c>
      <c r="M28" s="13" t="n">
        <f aca="false">SUM(M23:M27)</f>
        <v>814.822986007273</v>
      </c>
      <c r="N28" s="13" t="n">
        <f aca="false">SUM(N23:N27)</f>
        <v>1140.75218041018</v>
      </c>
      <c r="O28" s="13" t="n">
        <f aca="false">SUM(O23:O27)</f>
        <v>2301.07218041018</v>
      </c>
      <c r="P28" s="13" t="n">
        <f aca="false">SUM(P23:P27)</f>
        <v>2301.07218041018</v>
      </c>
      <c r="Q28" s="13" t="n">
        <f aca="false">SUM(Q23:Q27)</f>
        <v>2301.07218041018</v>
      </c>
      <c r="R28" s="13" t="n">
        <f aca="false">SUM(R23:R27)</f>
        <v>2301.07218041018</v>
      </c>
      <c r="S28" s="13" t="n">
        <f aca="false">SUM(S23:S27)</f>
        <v>2301.07218041018</v>
      </c>
      <c r="T28" s="13" t="n">
        <f aca="false">SUM(T23:T27)</f>
        <v>1390.93017994085</v>
      </c>
      <c r="U28" s="13" t="n">
        <f aca="false">SUM(U23:U27)</f>
        <v>1390.93017994085</v>
      </c>
      <c r="V28" s="13" t="n">
        <f aca="false">SUM(V23:V27)</f>
        <v>1390.93017994085</v>
      </c>
      <c r="W28" s="13" t="n">
        <f aca="false">SUM(W23:W27)</f>
        <v>1390.93017994085</v>
      </c>
      <c r="X28" s="13" t="n">
        <f aca="false">SUM(X23:X27)</f>
        <v>1390.93017994085</v>
      </c>
      <c r="Y28" s="13" t="n">
        <f aca="false">SUM(Y23:Y27)</f>
        <v>1390.93017994085</v>
      </c>
    </row>
    <row r="29" customFormat="false" ht="15" hidden="false" customHeight="false" outlineLevel="0" collapsed="false">
      <c r="A29" s="27" t="s">
        <v>368</v>
      </c>
      <c r="B29" s="28"/>
      <c r="C29" s="28"/>
      <c r="D29" s="28"/>
      <c r="E29" s="28"/>
      <c r="F29" s="28"/>
      <c r="G29" s="28"/>
      <c r="H29" s="28"/>
      <c r="I29" s="28"/>
      <c r="J29" s="28"/>
      <c r="K29" s="28"/>
      <c r="L29" s="28"/>
      <c r="M29" s="28"/>
      <c r="N29" s="28"/>
      <c r="O29" s="28"/>
      <c r="P29" s="28"/>
      <c r="Q29" s="28"/>
      <c r="R29" s="28"/>
      <c r="S29" s="28"/>
      <c r="T29" s="28"/>
      <c r="U29" s="28"/>
      <c r="V29" s="28"/>
      <c r="W29" s="28"/>
      <c r="X29" s="28"/>
      <c r="Y29" s="28"/>
    </row>
    <row r="30" customFormat="false" ht="15" hidden="false" customHeight="false" outlineLevel="0" collapsed="false">
      <c r="A30" s="4" t="s">
        <v>369</v>
      </c>
      <c r="B30" s="19" t="n">
        <f aca="false">B21-B25-B24</f>
        <v>0</v>
      </c>
      <c r="C30" s="19" t="n">
        <f aca="false">C21-C25-C24</f>
        <v>0</v>
      </c>
      <c r="D30" s="19" t="n">
        <f aca="false">D21-D25-D24</f>
        <v>0</v>
      </c>
      <c r="E30" s="19" t="n">
        <f aca="false">E21-E25-E24</f>
        <v>0</v>
      </c>
      <c r="F30" s="19" t="n">
        <f aca="false">F21-F25-F24</f>
        <v>0</v>
      </c>
      <c r="G30" s="19" t="n">
        <f aca="false">G21-G25-G24</f>
        <v>0</v>
      </c>
      <c r="H30" s="19" t="n">
        <f aca="false">H21-H25-H24</f>
        <v>0</v>
      </c>
      <c r="I30" s="19" t="n">
        <f aca="false">I21-I25-I24</f>
        <v>871.49974508606</v>
      </c>
      <c r="J30" s="19" t="n">
        <f aca="false">J21-J25-J24</f>
        <v>871.49974508606</v>
      </c>
      <c r="K30" s="19" t="n">
        <f aca="false">K21-K25-K24</f>
        <v>871.49974508606</v>
      </c>
      <c r="L30" s="19" t="n">
        <f aca="false">L21-L25-L24</f>
        <v>2149.58741399273</v>
      </c>
      <c r="M30" s="19" t="n">
        <f aca="false">M21-M25-M24</f>
        <v>2149.58741399273</v>
      </c>
      <c r="N30" s="19" t="n">
        <f aca="false">N21-N25-N24</f>
        <v>2884.93185958982</v>
      </c>
      <c r="O30" s="19" t="n">
        <f aca="false">O21-O25-O24</f>
        <v>2884.93185958982</v>
      </c>
      <c r="P30" s="19" t="n">
        <f aca="false">P21-P25-P24</f>
        <v>2884.93185958982</v>
      </c>
      <c r="Q30" s="19" t="n">
        <f aca="false">Q21-Q25-Q24</f>
        <v>2884.93185958982</v>
      </c>
      <c r="R30" s="19" t="n">
        <f aca="false">R21-R25-R24</f>
        <v>2884.93185958982</v>
      </c>
      <c r="S30" s="19" t="n">
        <f aca="false">S21-S25-S24</f>
        <v>2884.93185958982</v>
      </c>
      <c r="T30" s="19" t="n">
        <f aca="false">T21-T25-T24</f>
        <v>3813.79354005915</v>
      </c>
      <c r="U30" s="19" t="n">
        <f aca="false">U21-U25-U24</f>
        <v>3813.79354005915</v>
      </c>
      <c r="V30" s="19" t="n">
        <f aca="false">V21-V25-V24</f>
        <v>3813.79354005915</v>
      </c>
      <c r="W30" s="19" t="n">
        <f aca="false">W21-W25-W24</f>
        <v>3813.79354005915</v>
      </c>
      <c r="X30" s="19" t="n">
        <f aca="false">X21-X25-X24</f>
        <v>3813.79354005915</v>
      </c>
      <c r="Y30" s="19" t="n">
        <f aca="false">Y21-Y25-Y24</f>
        <v>3813.79354005915</v>
      </c>
    </row>
    <row r="31" customFormat="false" ht="15" hidden="false" customHeight="false" outlineLevel="0" collapsed="false">
      <c r="A31" s="17" t="s">
        <v>370</v>
      </c>
      <c r="B31" s="13" t="n">
        <f aca="false">B21-B28</f>
        <v>-414.4</v>
      </c>
      <c r="C31" s="13" t="n">
        <f aca="false">C21-C28</f>
        <v>-414.4</v>
      </c>
      <c r="D31" s="13" t="n">
        <f aca="false">D21-D28</f>
        <v>-414.4</v>
      </c>
      <c r="E31" s="13" t="n">
        <f aca="false">E21-E28</f>
        <v>-414.4</v>
      </c>
      <c r="F31" s="13" t="n">
        <f aca="false">F21-F28</f>
        <v>-414.4</v>
      </c>
      <c r="G31" s="13" t="n">
        <f aca="false">G21-G28</f>
        <v>-1065.12</v>
      </c>
      <c r="H31" s="13" t="n">
        <f aca="false">H21-H28</f>
        <v>-1065.12</v>
      </c>
      <c r="I31" s="13" t="n">
        <f aca="false">I21-I28</f>
        <v>-269.220254913939</v>
      </c>
      <c r="J31" s="13" t="n">
        <f aca="false">J21-J28</f>
        <v>-269.220254913939</v>
      </c>
      <c r="K31" s="13" t="n">
        <f aca="false">K21-K28</f>
        <v>-269.220254913939</v>
      </c>
      <c r="L31" s="13" t="n">
        <f aca="false">L21-L28</f>
        <v>1674.98741399273</v>
      </c>
      <c r="M31" s="13" t="n">
        <f aca="false">M21-M28</f>
        <v>1674.98741399273</v>
      </c>
      <c r="N31" s="13" t="n">
        <f aca="false">N21-N28</f>
        <v>2220.49185958982</v>
      </c>
      <c r="O31" s="13" t="n">
        <f aca="false">O21-O28</f>
        <v>1060.17185958982</v>
      </c>
      <c r="P31" s="13" t="n">
        <f aca="false">P21-P28</f>
        <v>1060.17185958982</v>
      </c>
      <c r="Q31" s="13" t="n">
        <f aca="false">Q21-Q28</f>
        <v>1060.17185958982</v>
      </c>
      <c r="R31" s="13" t="n">
        <f aca="false">R21-R28</f>
        <v>1060.17185958982</v>
      </c>
      <c r="S31" s="13" t="n">
        <f aca="false">S21-S28</f>
        <v>1060.17185958982</v>
      </c>
      <c r="T31" s="13" t="n">
        <f aca="false">T21-T28</f>
        <v>2963.15354005915</v>
      </c>
      <c r="U31" s="13" t="n">
        <f aca="false">U21-U28</f>
        <v>2963.15354005915</v>
      </c>
      <c r="V31" s="13" t="n">
        <f aca="false">V21-V28</f>
        <v>2963.15354005915</v>
      </c>
      <c r="W31" s="13" t="n">
        <f aca="false">W21-W28</f>
        <v>2963.15354005915</v>
      </c>
      <c r="X31" s="13" t="n">
        <f aca="false">X21-X28</f>
        <v>2963.15354005915</v>
      </c>
      <c r="Y31" s="13" t="n">
        <f aca="false">Y21-Y28</f>
        <v>2963.15354005915</v>
      </c>
    </row>
    <row r="32" customFormat="false" ht="15" hidden="false" customHeight="false" outlineLevel="0" collapsed="false">
      <c r="A32" s="17" t="s">
        <v>371</v>
      </c>
      <c r="B32" s="13" t="n">
        <f aca="false">B31</f>
        <v>-414.4</v>
      </c>
      <c r="C32" s="13" t="n">
        <f aca="false">B32+C31</f>
        <v>-828.8</v>
      </c>
      <c r="D32" s="13" t="n">
        <f aca="false">C32+D31</f>
        <v>-1243.2</v>
      </c>
      <c r="E32" s="13" t="n">
        <f aca="false">D32+E31</f>
        <v>-1657.6</v>
      </c>
      <c r="F32" s="13" t="n">
        <f aca="false">E32+F31</f>
        <v>-2072</v>
      </c>
      <c r="G32" s="13" t="n">
        <f aca="false">F32+G31</f>
        <v>-3137.12</v>
      </c>
      <c r="H32" s="13" t="n">
        <f aca="false">G32+H31</f>
        <v>-4202.24</v>
      </c>
      <c r="I32" s="13" t="n">
        <f aca="false">H32+I31</f>
        <v>-4471.46025491394</v>
      </c>
      <c r="J32" s="13" t="n">
        <f aca="false">I32+J31</f>
        <v>-4740.68050982788</v>
      </c>
      <c r="K32" s="13" t="n">
        <f aca="false">J32+K31</f>
        <v>-5009.90076474182</v>
      </c>
      <c r="L32" s="13" t="n">
        <f aca="false">K32+L31</f>
        <v>-3334.91335074909</v>
      </c>
      <c r="M32" s="13" t="n">
        <f aca="false">L32+M31</f>
        <v>-1659.92593675636</v>
      </c>
      <c r="N32" s="13" t="n">
        <f aca="false">M32+N31</f>
        <v>560.565922833455</v>
      </c>
      <c r="O32" s="13" t="n">
        <f aca="false">N32+O31</f>
        <v>1620.73778242327</v>
      </c>
      <c r="P32" s="13" t="n">
        <f aca="false">O32+P31</f>
        <v>2680.90964201309</v>
      </c>
      <c r="Q32" s="13" t="n">
        <f aca="false">P32+Q31</f>
        <v>3741.08150160291</v>
      </c>
      <c r="R32" s="13" t="n">
        <f aca="false">Q32+R31</f>
        <v>4801.25336119273</v>
      </c>
      <c r="S32" s="13" t="n">
        <f aca="false">R32+S31</f>
        <v>5861.42522078255</v>
      </c>
      <c r="T32" s="13" t="n">
        <f aca="false">S32+T31</f>
        <v>8824.5787608417</v>
      </c>
      <c r="U32" s="13" t="n">
        <f aca="false">T32+U31</f>
        <v>11787.7323009009</v>
      </c>
      <c r="V32" s="13" t="n">
        <f aca="false">U32+V31</f>
        <v>14750.88584096</v>
      </c>
      <c r="W32" s="13" t="n">
        <f aca="false">V32+W31</f>
        <v>17714.0393810192</v>
      </c>
      <c r="X32" s="13" t="n">
        <f aca="false">W32+X31</f>
        <v>20677.1929210783</v>
      </c>
      <c r="Y32" s="13" t="n">
        <f aca="false">X32+Y31</f>
        <v>23640.3464611375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4"/>
    <col collapsed="false" customWidth="true" hidden="false" outlineLevel="0" max="5" min="3" style="0" width="16"/>
    <col collapsed="false" customWidth="true" hidden="false" outlineLevel="0" max="6" min="6" style="0" width="46"/>
  </cols>
  <sheetData>
    <row r="1" customFormat="false" ht="16.15" hidden="false" customHeight="false" outlineLevel="0" collapsed="false">
      <c r="A1" s="1" t="s">
        <v>374</v>
      </c>
    </row>
    <row r="2" customFormat="false" ht="15" hidden="false" customHeight="false" outlineLevel="0" collapsed="false">
      <c r="A2" s="2" t="s">
        <v>375</v>
      </c>
    </row>
    <row r="4" customFormat="false" ht="16.4" hidden="false" customHeight="false" outlineLevel="0" collapsed="false">
      <c r="A4" s="5"/>
      <c r="B4" s="5" t="s">
        <v>376</v>
      </c>
      <c r="C4" s="5" t="s">
        <v>186</v>
      </c>
      <c r="D4" s="5" t="s">
        <v>187</v>
      </c>
      <c r="E4" s="5" t="s">
        <v>188</v>
      </c>
      <c r="F4" s="5" t="s">
        <v>377</v>
      </c>
    </row>
    <row r="5" customFormat="false" ht="15" hidden="false" customHeight="false" outlineLevel="0" collapsed="false">
      <c r="B5" s="6" t="s">
        <v>378</v>
      </c>
      <c r="C5" s="6"/>
      <c r="D5" s="6"/>
      <c r="E5" s="6"/>
      <c r="F5" s="6"/>
    </row>
    <row r="6" customFormat="false" ht="15" hidden="false" customHeight="false" outlineLevel="0" collapsed="false">
      <c r="B6" s="4" t="s">
        <v>379</v>
      </c>
      <c r="C6" s="15" t="n">
        <f aca="false">'اقتصاد واحد'!$C$8</f>
        <v>278.69184</v>
      </c>
      <c r="D6" s="15" t="n">
        <f aca="false">'اقتصاد واحد'!$D$8</f>
        <v>2090.1888</v>
      </c>
      <c r="E6" s="15" t="n">
        <f aca="false">'اقتصاد واحد'!$E$8</f>
        <v>35300.9664</v>
      </c>
      <c r="F6" s="2" t="s">
        <v>380</v>
      </c>
    </row>
    <row r="7" customFormat="false" ht="15" hidden="false" customHeight="false" outlineLevel="0" collapsed="false">
      <c r="B7" s="4" t="s">
        <v>381</v>
      </c>
      <c r="C7" s="29" t="n">
        <f aca="false">'اقتصاد واحد'!$C$9</f>
        <v>0.006</v>
      </c>
      <c r="D7" s="29" t="n">
        <f aca="false">'اقتصاد واحد'!$D$9</f>
        <v>0.012</v>
      </c>
      <c r="E7" s="29" t="n">
        <f aca="false">'اقتصاد واحد'!$E$9</f>
        <v>0.02</v>
      </c>
      <c r="F7" s="2" t="s">
        <v>382</v>
      </c>
    </row>
    <row r="8" customFormat="false" ht="15" hidden="false" customHeight="false" outlineLevel="0" collapsed="false">
      <c r="B8" s="4" t="s">
        <v>283</v>
      </c>
      <c r="C8" s="30" t="n">
        <f aca="false">'اقتصاد واحد'!$C$21</f>
        <v>-0.30947986478542</v>
      </c>
      <c r="D8" s="30" t="n">
        <f aca="false">'اقتصاد واحد'!$D$21</f>
        <v>0.760380462473055</v>
      </c>
      <c r="E8" s="30" t="n">
        <f aca="false">'اقتصاد واحد'!$E$21</f>
        <v>0.937862001067483</v>
      </c>
      <c r="F8" s="2" t="s">
        <v>383</v>
      </c>
    </row>
    <row r="9" customFormat="false" ht="16.4" hidden="false" customHeight="false" outlineLevel="0" collapsed="false">
      <c r="B9" s="4" t="s">
        <v>308</v>
      </c>
      <c r="C9" s="16" t="n">
        <f aca="false">'اقتصاد واحد'!$C$34</f>
        <v>-5.74996753066667</v>
      </c>
      <c r="D9" s="16" t="n">
        <f aca="false">'اقتصاد واحد'!$D$34</f>
        <v>176.593191822222</v>
      </c>
      <c r="E9" s="16" t="n">
        <f aca="false">'اقتصاد واحد'!$E$34</f>
        <v>5517.90583125333</v>
      </c>
      <c r="F9" s="2" t="s">
        <v>384</v>
      </c>
    </row>
    <row r="10" customFormat="false" ht="15" hidden="false" customHeight="false" outlineLevel="0" collapsed="false">
      <c r="B10" s="6" t="s">
        <v>385</v>
      </c>
      <c r="C10" s="6"/>
      <c r="D10" s="6"/>
      <c r="E10" s="6"/>
      <c r="F10" s="6"/>
    </row>
    <row r="11" customFormat="false" ht="15" hidden="false" customHeight="false" outlineLevel="0" collapsed="false">
      <c r="B11" s="4" t="s">
        <v>386</v>
      </c>
      <c r="C11" s="15" t="n">
        <f aca="false">SUM('مدل بدبین'!$B$21:$M$21)</f>
        <v>60.2270208</v>
      </c>
      <c r="D11" s="15" t="n">
        <f aca="false">SUM('مدل پایه'!$B$21:$M$21)</f>
        <v>977.986870425</v>
      </c>
      <c r="E11" s="15" t="n">
        <f aca="false">SUM('مدل خوش‌بین'!$B$21:$M$21)</f>
        <v>8477.69328</v>
      </c>
      <c r="F11" s="2" t="s">
        <v>387</v>
      </c>
    </row>
    <row r="12" customFormat="false" ht="15" hidden="false" customHeight="false" outlineLevel="0" collapsed="false">
      <c r="B12" s="4" t="s">
        <v>388</v>
      </c>
      <c r="C12" s="15" t="n">
        <f aca="false">SUM('مدل بدبین'!$N$21:$Y$21)</f>
        <v>730.157253745344</v>
      </c>
      <c r="D12" s="15" t="n">
        <f aca="false">SUM('مدل پایه'!$N$21:$Y$21)</f>
        <v>14159.9004324074</v>
      </c>
      <c r="E12" s="15" t="n">
        <f aca="false">SUM('مدل خوش‌بین'!$N$21:$Y$21)</f>
        <v>46291.96656</v>
      </c>
      <c r="F12" s="2" t="s">
        <v>389</v>
      </c>
    </row>
    <row r="13" customFormat="false" ht="15" hidden="false" customHeight="false" outlineLevel="0" collapsed="false">
      <c r="B13" s="17" t="s">
        <v>390</v>
      </c>
      <c r="C13" s="13" t="n">
        <f aca="false">SUM('مدل بدبین'!$N$31:$Y$31)</f>
        <v>-18987.1007087741</v>
      </c>
      <c r="D13" s="13" t="n">
        <f aca="false">SUM('مدل پایه'!$N$31:$Y$31)</f>
        <v>-4452.44522230697</v>
      </c>
      <c r="E13" s="13" t="n">
        <f aca="false">SUM('مدل خوش‌بین'!$N$31:$Y$31)</f>
        <v>25300.2723978938</v>
      </c>
      <c r="F13" s="2" t="s">
        <v>389</v>
      </c>
    </row>
    <row r="14" customFormat="false" ht="15" hidden="false" customHeight="false" outlineLevel="0" collapsed="false">
      <c r="B14" s="4" t="s">
        <v>391</v>
      </c>
      <c r="C14" s="31" t="str">
        <f aca="false">IFERROR(MATCH(TRUE(),INDEX('مدل بدبین'!$B$31:$Y$31&gt;0,0),0),"در ۲۴ ماه رخ نمی‌دهد")</f>
        <v>در ۲۴ ماه رخ نمی‌دهد</v>
      </c>
      <c r="D14" s="31" t="n">
        <f aca="false">IFERROR(MATCH(TRUE(),INDEX('مدل پایه'!$B$31:$Y$31&gt;0,0),0),"در ۲۴ ماه رخ نمی‌دهد")</f>
        <v>19</v>
      </c>
      <c r="E14" s="31" t="n">
        <f aca="false">IFERROR(MATCH(TRUE(),INDEX('مدل خوش‌بین'!$B$31:$Y$31&gt;0,0),0),"در ۲۴ ماه رخ نمی‌دهد")</f>
        <v>11</v>
      </c>
      <c r="F14" s="2" t="s">
        <v>392</v>
      </c>
    </row>
    <row r="15" customFormat="false" ht="15" hidden="false" customHeight="false" outlineLevel="0" collapsed="false">
      <c r="B15" s="6" t="s">
        <v>393</v>
      </c>
      <c r="C15" s="6"/>
      <c r="D15" s="6"/>
      <c r="E15" s="6"/>
      <c r="F15" s="6"/>
    </row>
    <row r="16" customFormat="false" ht="15" hidden="false" customHeight="false" outlineLevel="0" collapsed="false">
      <c r="B16" s="4" t="s">
        <v>394</v>
      </c>
      <c r="C16" s="15" t="n">
        <f aca="false">MIN('مدل بدبین'!$B$32:$Y$32)</f>
        <v>-28779.7187554202</v>
      </c>
      <c r="D16" s="15" t="n">
        <f aca="false">MIN('مدل پایه'!$B$32:$Y$32)</f>
        <v>-14200.3822672272</v>
      </c>
      <c r="E16" s="15" t="n">
        <f aca="false">MIN('مدل خوش‌بین'!$B$32:$Y$32)</f>
        <v>-5009.90076474182</v>
      </c>
      <c r="F16" s="2" t="s">
        <v>395</v>
      </c>
    </row>
    <row r="17" customFormat="false" ht="15" hidden="false" customHeight="false" outlineLevel="0" collapsed="false">
      <c r="B17" s="17" t="s">
        <v>396</v>
      </c>
      <c r="C17" s="13" t="n">
        <f aca="false">-MIN(0,MIN('مدل بدبین'!$B$32:$Y$32))</f>
        <v>28779.7187554202</v>
      </c>
      <c r="D17" s="13" t="n">
        <f aca="false">-MIN(0,MIN('مدل پایه'!$B$32:$Y$32))</f>
        <v>14200.3822672272</v>
      </c>
      <c r="E17" s="13" t="n">
        <f aca="false">-MIN(0,MIN('مدل خوش‌بین'!$B$32:$Y$32))</f>
        <v>5009.90076474182</v>
      </c>
      <c r="F17" s="2" t="s">
        <v>397</v>
      </c>
    </row>
    <row r="18" customFormat="false" ht="15" hidden="false" customHeight="false" outlineLevel="0" collapsed="false">
      <c r="B18" s="4" t="s">
        <v>398</v>
      </c>
      <c r="C18" s="15" t="n">
        <f aca="false">C17*1.2</f>
        <v>34535.6625065042</v>
      </c>
      <c r="D18" s="15" t="n">
        <f aca="false">D17*1.2</f>
        <v>17040.4587206726</v>
      </c>
      <c r="E18" s="15" t="n">
        <f aca="false">E17*1.2</f>
        <v>6011.88091769018</v>
      </c>
      <c r="F18" s="2" t="s">
        <v>399</v>
      </c>
    </row>
    <row r="19" customFormat="false" ht="15" hidden="false" customHeight="false" outlineLevel="0" collapsed="false">
      <c r="B19" s="6" t="s">
        <v>400</v>
      </c>
      <c r="C19" s="6"/>
      <c r="D19" s="6"/>
      <c r="E19" s="6"/>
      <c r="F19" s="6"/>
    </row>
    <row r="20" customFormat="false" ht="15" hidden="false" customHeight="false" outlineLevel="0" collapsed="false">
      <c r="B20" s="4" t="s">
        <v>401</v>
      </c>
      <c r="C20" s="16" t="n">
        <f aca="false">'مدل بدبین'!$Y$17</f>
        <v>1.47041605406139</v>
      </c>
      <c r="D20" s="16" t="n">
        <f aca="false">'مدل پایه'!$Y$17</f>
        <v>7.29202477615528</v>
      </c>
      <c r="E20" s="16" t="n">
        <f aca="false">'مدل خوش‌بین'!$Y$17</f>
        <v>1</v>
      </c>
      <c r="F20" s="2" t="s">
        <v>402</v>
      </c>
    </row>
    <row r="21" customFormat="false" ht="15" hidden="false" customHeight="false" outlineLevel="0" collapsed="false">
      <c r="B21" s="4" t="s">
        <v>403</v>
      </c>
      <c r="C21" s="16" t="n">
        <f aca="false">سناریوها!$C$7</f>
        <v>30</v>
      </c>
      <c r="D21" s="16" t="n">
        <f aca="false">سناریوها!$D$7</f>
        <v>10</v>
      </c>
      <c r="E21" s="16" t="n">
        <f aca="false">سناریوها!$E$7</f>
        <v>1</v>
      </c>
      <c r="F21" s="2" t="s">
        <v>404</v>
      </c>
    </row>
    <row r="22" customFormat="false" ht="15" hidden="false" customHeight="false" outlineLevel="0" collapsed="false">
      <c r="B22" s="4" t="s">
        <v>355</v>
      </c>
      <c r="C22" s="16" t="n">
        <f aca="false">سناریوها!$C$18*'مفروضات مشترک'!$B$25*160/'اقتصاد واحد'!$C$15</f>
        <v>21.7038506682471</v>
      </c>
      <c r="D22" s="16" t="n">
        <f aca="false">سناریوها!$D$18*'مفروضات مشترک'!$B$25*160/'اقتصاد واحد'!$D$15</f>
        <v>8.90686976968814</v>
      </c>
      <c r="E22" s="16" t="n">
        <f aca="false">سناریوها!$E$18*'مفروضات مشترک'!$B$25*160/'اقتصاد واحد'!$E$15</f>
        <v>1.80446757299593</v>
      </c>
      <c r="F22" s="2" t="s">
        <v>405</v>
      </c>
    </row>
    <row r="23" customFormat="false" ht="15" hidden="false" customHeight="false" outlineLevel="0" collapsed="false">
      <c r="B23" s="4" t="s">
        <v>406</v>
      </c>
      <c r="C23" s="15" t="n">
        <f aca="false">سناریوها!$C$18*'مفروضات مشترک'!$B$53*12</f>
        <v>10640</v>
      </c>
      <c r="D23" s="15" t="n">
        <f aca="false">سناریوها!$D$18*'مفروضات مشترک'!$B$53*12</f>
        <v>6384</v>
      </c>
      <c r="E23" s="15" t="n">
        <f aca="false">سناریوها!$E$18*'مفروضات مشترک'!$B$53*12</f>
        <v>6384</v>
      </c>
      <c r="F23" s="2" t="s">
        <v>407</v>
      </c>
    </row>
    <row r="24" customFormat="false" ht="15" hidden="false" customHeight="false" outlineLevel="0" collapsed="false">
      <c r="B24" s="4" t="s">
        <v>408</v>
      </c>
      <c r="C24" s="15" t="n">
        <f aca="false">C23*(1+'مفروضات مشترک'!$B$10)</f>
        <v>14896</v>
      </c>
      <c r="D24" s="15" t="n">
        <f aca="false">D23*(1+'مفروضات مشترک'!$B$10)</f>
        <v>8937.6</v>
      </c>
      <c r="E24" s="15" t="n">
        <f aca="false">E23*(1+'مفروضات مشترک'!$B$10)</f>
        <v>8937.6</v>
      </c>
      <c r="F24" s="2" t="s">
        <v>409</v>
      </c>
    </row>
    <row r="25" customFormat="false" ht="15" hidden="false" customHeight="false" outlineLevel="0" collapsed="false">
      <c r="B25" s="4" t="s">
        <v>410</v>
      </c>
      <c r="C25" s="15" t="n">
        <f aca="false">'اقتصاد واحد'!$C$11*12*(1+سناریوها!$C$10)-'اقتصاد واحد'!$C$18*12*(1+'مفروضات مشترک'!$B$10)</f>
        <v>-148.618502144</v>
      </c>
      <c r="D25" s="15" t="n">
        <f aca="false">'اقتصاد واحد'!$D$11*12*(1+سناریوها!$D$10)-'اقتصاد واحد'!$D$18*12*(1+'مفروضات مشترک'!$B$10)</f>
        <v>2068.31005696</v>
      </c>
      <c r="E25" s="15" t="n">
        <f aca="false">'اقتصاد واحد'!$E$11*12*(1+سناریوها!$E$10)-'اقتصاد واحد'!$E$18*12*(1+'مفروضات مشترک'!$B$10)</f>
        <v>44585.360662528</v>
      </c>
      <c r="F25" s="2" t="s">
        <v>411</v>
      </c>
    </row>
    <row r="26" customFormat="false" ht="15" hidden="false" customHeight="false" outlineLevel="0" collapsed="false">
      <c r="B26" s="17" t="s">
        <v>412</v>
      </c>
      <c r="C26" s="18" t="str">
        <f aca="false">IF(C25&lt;=0,"هرگز",C24/C25)</f>
        <v>هرگز</v>
      </c>
      <c r="D26" s="18" t="n">
        <f aca="false">IF(D25&lt;=0,"هرگز",D24/D25)</f>
        <v>4.32120898408069</v>
      </c>
      <c r="E26" s="18" t="n">
        <f aca="false">IF(E25&lt;=0,"هرگز",E24/E25)</f>
        <v>0.200460417212945</v>
      </c>
      <c r="F26" s="2" t="s">
        <v>413</v>
      </c>
    </row>
    <row r="27" customFormat="false" ht="15" hidden="false" customHeight="false" outlineLevel="0" collapsed="false">
      <c r="B27" s="17" t="s">
        <v>414</v>
      </c>
      <c r="C27" s="32" t="str">
        <f aca="false">IF(C25&lt;=0,"⚠ حاشیه منفی است — تورم هزینه از رشد قیمت جلو زده",IF(C26&gt;C22,"⚠ سربه‌سر از سقف ظرفیت بیشتر است",IF(C26&gt;C20,"⚠ در ۲۴ ماه به سربه‌سر نمی‌رسد — قیف کافی نیست","به سربه‌سر می‌رسد")))</f>
        <v>⚠ حاشیه منفی است — تورم هزینه از رشد قیمت جلو زده</v>
      </c>
      <c r="D27" s="32" t="str">
        <f aca="false">IF(D25&lt;=0,"⚠ حاشیه منفی است — تورم هزینه از رشد قیمت جلو زده",IF(D26&gt;D22,"⚠ سربه‌سر از سقف ظرفیت بیشتر است",IF(D26&gt;D20,"⚠ در ۲۴ ماه به سربه‌سر نمی‌رسد — قیف کافی نیست","به سربه‌سر می‌رسد")))</f>
        <v>به سربه‌سر می‌رسد</v>
      </c>
      <c r="E27" s="32" t="str">
        <f aca="false">IF(E25&lt;=0,"⚠ حاشیه منفی است — تورم هزینه از رشد قیمت جلو زده",IF(E26&gt;E22,"⚠ سربه‌سر از سقف ظرفیت بیشتر است",IF(E26&gt;E20,"⚠ در ۲۴ ماه به سربه‌سر نمی‌رسد — قیف کافی نیست","به سربه‌سر می‌رسد")))</f>
        <v>به سربه‌سر می‌رسد</v>
      </c>
      <c r="F27" s="2" t="s">
        <v>415</v>
      </c>
    </row>
    <row r="29" customFormat="false" ht="18.65" hidden="false" customHeight="false" outlineLevel="0" collapsed="false">
      <c r="B29" s="22" t="s">
        <v>416</v>
      </c>
      <c r="C29" s="22"/>
      <c r="D29" s="22"/>
      <c r="E29" s="22"/>
      <c r="F29" s="22"/>
    </row>
    <row r="30" customFormat="false" ht="15" hidden="false" customHeight="false" outlineLevel="0" collapsed="false">
      <c r="B30" s="14" t="s">
        <v>417</v>
      </c>
      <c r="C30" s="14"/>
      <c r="D30" s="14"/>
      <c r="E30" s="14"/>
      <c r="F30" s="14"/>
    </row>
    <row r="31" customFormat="false" ht="15" hidden="false" customHeight="false" outlineLevel="0" collapsed="false">
      <c r="B31" s="4" t="s">
        <v>418</v>
      </c>
      <c r="C31" s="15" t="n">
        <f aca="false">'اقتصاد واحد'!$C$11*12-'اقتصاد واحد'!$C$18*12*(1+'مفروضات مشترک'!$B$10)</f>
        <v>-232.226054144</v>
      </c>
      <c r="D31" s="15" t="n">
        <f aca="false">'اقتصاد واحد'!$D$11*12-'اقتصاد واحد'!$D$18*12*(1+'مفروضات مشترک'!$B$10)</f>
        <v>1388.99869696</v>
      </c>
      <c r="E31" s="15" t="n">
        <f aca="false">'اقتصاد واحد'!$E$11*12-'اقتصاد واحد'!$E$18*12*(1+'مفروضات مشترک'!$B$10)</f>
        <v>32230.022422528</v>
      </c>
      <c r="F31" s="2" t="s">
        <v>419</v>
      </c>
    </row>
    <row r="32" customFormat="false" ht="16.4" hidden="false" customHeight="false" outlineLevel="0" collapsed="false">
      <c r="B32" s="17" t="s">
        <v>420</v>
      </c>
      <c r="C32" s="33" t="s">
        <v>421</v>
      </c>
      <c r="D32" s="33"/>
      <c r="E32" s="33"/>
      <c r="F32" s="33"/>
    </row>
  </sheetData>
  <mergeCells count="7">
    <mergeCell ref="B5:F5"/>
    <mergeCell ref="B10:F10"/>
    <mergeCell ref="B15:F15"/>
    <mergeCell ref="B19:F19"/>
    <mergeCell ref="B29:F29"/>
    <mergeCell ref="B30:F30"/>
    <mergeCell ref="C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7" min="2" style="0" width="14"/>
  </cols>
  <sheetData>
    <row r="1" customFormat="false" ht="16.15" hidden="false" customHeight="false" outlineLevel="0" collapsed="false">
      <c r="A1" s="1" t="s">
        <v>422</v>
      </c>
    </row>
    <row r="2" customFormat="false" ht="15" hidden="false" customHeight="false" outlineLevel="0" collapsed="false">
      <c r="A2" s="2" t="s">
        <v>423</v>
      </c>
    </row>
    <row r="4" customFormat="false" ht="15" hidden="false" customHeight="false" outlineLevel="0" collapsed="false">
      <c r="A4" s="3" t="s">
        <v>175</v>
      </c>
    </row>
    <row r="5" customFormat="false" ht="15" hidden="false" customHeight="false" outlineLevel="0" collapsed="false">
      <c r="A5" s="2" t="s">
        <v>424</v>
      </c>
    </row>
    <row r="6" customFormat="false" ht="15" hidden="false" customHeight="false" outlineLevel="0" collapsed="false">
      <c r="A6" s="2" t="s">
        <v>425</v>
      </c>
    </row>
    <row r="7" customFormat="false" ht="15" hidden="false" customHeight="false" outlineLevel="0" collapsed="false">
      <c r="A7" s="2" t="s">
        <v>426</v>
      </c>
    </row>
    <row r="9" customFormat="false" ht="16.4" hidden="false" customHeight="false" outlineLevel="0" collapsed="false">
      <c r="A9" s="4" t="s">
        <v>427</v>
      </c>
      <c r="B9" s="16" t="n">
        <f aca="false">سناریوها!$D$18*'مفروضات مشترک'!$B$25*160/'اقتصاد واحد'!$D$15</f>
        <v>8.90686976968814</v>
      </c>
    </row>
    <row r="11" customFormat="false" ht="15" hidden="false" customHeight="false" outlineLevel="0" collapsed="false">
      <c r="A11" s="2" t="s">
        <v>428</v>
      </c>
    </row>
    <row r="12" customFormat="false" ht="16.4" hidden="false" customHeight="false" outlineLevel="0" collapsed="false">
      <c r="A12" s="5" t="s">
        <v>429</v>
      </c>
      <c r="B12" s="5" t="s">
        <v>430</v>
      </c>
      <c r="C12" s="5" t="s">
        <v>431</v>
      </c>
      <c r="D12" s="5" t="s">
        <v>432</v>
      </c>
      <c r="E12" s="5" t="s">
        <v>433</v>
      </c>
      <c r="F12" s="5" t="s">
        <v>434</v>
      </c>
    </row>
    <row r="13" customFormat="false" ht="15" hidden="false" customHeight="false" outlineLevel="0" collapsed="false">
      <c r="A13" s="9" t="n">
        <v>0.1</v>
      </c>
      <c r="B13" s="19" t="n">
        <f aca="false">MIN($B$9,(سناریوها!$D$12*سناریوها!$D$13*$A13*12)/سناریوها!$D$16)*(50*1000*سناریوها!$D$8*سناریوها!$D$9)+(سناریوها!$D$12*سناریوها!$D$13*$A13*12)*'اقتصاد واحد'!$D$12</f>
        <v>5884.12186181289</v>
      </c>
      <c r="C13" s="19" t="n">
        <f aca="false">MIN($B$9,(سناریوها!$D$12*سناریوها!$D$13*$A13*12)/سناریوها!$D$16)*(150*1000*سناریوها!$D$8*سناریوها!$D$9)+(سناریوها!$D$12*سناریوها!$D$13*$A13*12)*'اقتصاد واحد'!$D$12</f>
        <v>16572.3655854387</v>
      </c>
      <c r="D13" s="19" t="n">
        <f aca="false">MIN($B$9,(سناریوها!$D$12*سناریوها!$D$13*$A13*12)/سناریوها!$D$16)*(300*1000*سناریوها!$D$8*سناریوها!$D$9)+(سناریوها!$D$12*سناریوها!$D$13*$A13*12)*'اقتصاد واحد'!$D$12</f>
        <v>32604.7311708773</v>
      </c>
      <c r="E13" s="19" t="n">
        <f aca="false">MIN($B$9,(سناریوها!$D$12*سناریوها!$D$13*$A13*12)/سناریوها!$D$16)*(800*1000*سناریوها!$D$8*سناریوها!$D$9)+(سناریوها!$D$12*سناریوها!$D$13*$A13*12)*'اقتصاد واحد'!$D$12</f>
        <v>86045.9497890062</v>
      </c>
      <c r="F13" s="19" t="n">
        <f aca="false">MIN($B$9,(سناریوها!$D$12*سناریوها!$D$13*$A13*12)/سناریوها!$D$16)*(2000*1000*سناریوها!$D$8*سناریوها!$D$9)+(سناریوها!$D$12*سناریوها!$D$13*$A13*12)*'اقتصاد واحد'!$D$12</f>
        <v>214304.874472515</v>
      </c>
    </row>
    <row r="14" customFormat="false" ht="15" hidden="false" customHeight="false" outlineLevel="0" collapsed="false">
      <c r="A14" s="9" t="n">
        <v>0.15</v>
      </c>
      <c r="B14" s="19" t="n">
        <f aca="false">MIN($B$9,(سناریوها!$D$12*سناریوها!$D$13*$A14*12)/سناریوها!$D$16)*(50*1000*سناریوها!$D$8*سناریوها!$D$9)+(سناریوها!$D$12*سناریوها!$D$13*$A14*12)*'اقتصاد واحد'!$D$12</f>
        <v>6154.12186181289</v>
      </c>
      <c r="C14" s="19" t="n">
        <f aca="false">MIN($B$9,(سناریوها!$D$12*سناریوها!$D$13*$A14*12)/سناریوها!$D$16)*(150*1000*سناریوها!$D$8*سناریوها!$D$9)+(سناریوها!$D$12*سناریوها!$D$13*$A14*12)*'اقتصاد واحد'!$D$12</f>
        <v>16842.3655854387</v>
      </c>
      <c r="D14" s="19" t="n">
        <f aca="false">MIN($B$9,(سناریوها!$D$12*سناریوها!$D$13*$A14*12)/سناریوها!$D$16)*(300*1000*سناریوها!$D$8*سناریوها!$D$9)+(سناریوها!$D$12*سناریوها!$D$13*$A14*12)*'اقتصاد واحد'!$D$12</f>
        <v>32874.7311708773</v>
      </c>
      <c r="E14" s="19" t="n">
        <f aca="false">MIN($B$9,(سناریوها!$D$12*سناریوها!$D$13*$A14*12)/سناریوها!$D$16)*(800*1000*سناریوها!$D$8*سناریوها!$D$9)+(سناریوها!$D$12*سناریوها!$D$13*$A14*12)*'اقتصاد واحد'!$D$12</f>
        <v>86315.9497890062</v>
      </c>
      <c r="F14" s="19" t="n">
        <f aca="false">MIN($B$9,(سناریوها!$D$12*سناریوها!$D$13*$A14*12)/سناریوها!$D$16)*(2000*1000*سناریوها!$D$8*سناریوها!$D$9)+(سناریوها!$D$12*سناریوها!$D$13*$A14*12)*'اقتصاد واحد'!$D$12</f>
        <v>214574.874472515</v>
      </c>
    </row>
    <row r="15" customFormat="false" ht="15" hidden="false" customHeight="false" outlineLevel="0" collapsed="false">
      <c r="A15" s="9" t="n">
        <v>0.2</v>
      </c>
      <c r="B15" s="19" t="n">
        <f aca="false">MIN($B$9,(سناریوها!$D$12*سناریوها!$D$13*$A15*12)/سناریوها!$D$16)*(50*1000*سناریوها!$D$8*سناریوها!$D$9)+(سناریوها!$D$12*سناریوها!$D$13*$A15*12)*'اقتصاد واحد'!$D$12</f>
        <v>6424.12186181289</v>
      </c>
      <c r="C15" s="19" t="n">
        <f aca="false">MIN($B$9,(سناریوها!$D$12*سناریوها!$D$13*$A15*12)/سناریوها!$D$16)*(150*1000*سناریوها!$D$8*سناریوها!$D$9)+(سناریوها!$D$12*سناریوها!$D$13*$A15*12)*'اقتصاد واحد'!$D$12</f>
        <v>17112.3655854387</v>
      </c>
      <c r="D15" s="19" t="n">
        <f aca="false">MIN($B$9,(سناریوها!$D$12*سناریوها!$D$13*$A15*12)/سناریوها!$D$16)*(300*1000*سناریوها!$D$8*سناریوها!$D$9)+(سناریوها!$D$12*سناریوها!$D$13*$A15*12)*'اقتصاد واحد'!$D$12</f>
        <v>33144.7311708773</v>
      </c>
      <c r="E15" s="19" t="n">
        <f aca="false">MIN($B$9,(سناریوها!$D$12*سناریوها!$D$13*$A15*12)/سناریوها!$D$16)*(800*1000*سناریوها!$D$8*سناریوها!$D$9)+(سناریوها!$D$12*سناریوها!$D$13*$A15*12)*'اقتصاد واحد'!$D$12</f>
        <v>86585.9497890062</v>
      </c>
      <c r="F15" s="19" t="n">
        <f aca="false">MIN($B$9,(سناریوها!$D$12*سناریوها!$D$13*$A15*12)/سناریوها!$D$16)*(2000*1000*سناریوها!$D$8*سناریوها!$D$9)+(سناریوها!$D$12*سناریوها!$D$13*$A15*12)*'اقتصاد واحد'!$D$12</f>
        <v>214844.874472515</v>
      </c>
    </row>
    <row r="16" customFormat="false" ht="15" hidden="false" customHeight="false" outlineLevel="0" collapsed="false">
      <c r="A16" s="9" t="n">
        <v>0.25</v>
      </c>
      <c r="B16" s="19" t="n">
        <f aca="false">MIN($B$9,(سناریوها!$D$12*سناریوها!$D$13*$A16*12)/سناریوها!$D$16)*(50*1000*سناریوها!$D$8*سناریوها!$D$9)+(سناریوها!$D$12*سناریوها!$D$13*$A16*12)*'اقتصاد واحد'!$D$12</f>
        <v>6694.12186181289</v>
      </c>
      <c r="C16" s="19" t="n">
        <f aca="false">MIN($B$9,(سناریوها!$D$12*سناریوها!$D$13*$A16*12)/سناریوها!$D$16)*(150*1000*سناریوها!$D$8*سناریوها!$D$9)+(سناریوها!$D$12*سناریوها!$D$13*$A16*12)*'اقتصاد واحد'!$D$12</f>
        <v>17382.3655854387</v>
      </c>
      <c r="D16" s="19" t="n">
        <f aca="false">MIN($B$9,(سناریوها!$D$12*سناریوها!$D$13*$A16*12)/سناریوها!$D$16)*(300*1000*سناریوها!$D$8*سناریوها!$D$9)+(سناریوها!$D$12*سناریوها!$D$13*$A16*12)*'اقتصاد واحد'!$D$12</f>
        <v>33414.7311708773</v>
      </c>
      <c r="E16" s="19" t="n">
        <f aca="false">MIN($B$9,(سناریوها!$D$12*سناریوها!$D$13*$A16*12)/سناریوها!$D$16)*(800*1000*سناریوها!$D$8*سناریوها!$D$9)+(سناریوها!$D$12*سناریوها!$D$13*$A16*12)*'اقتصاد واحد'!$D$12</f>
        <v>86855.9497890062</v>
      </c>
      <c r="F16" s="19" t="n">
        <f aca="false">MIN($B$9,(سناریوها!$D$12*سناریوها!$D$13*$A16*12)/سناریوها!$D$16)*(2000*1000*سناریوها!$D$8*سناریوها!$D$9)+(سناریوها!$D$12*سناریوها!$D$13*$A16*12)*'اقتصاد واحد'!$D$12</f>
        <v>215114.874472515</v>
      </c>
    </row>
    <row r="17" customFormat="false" ht="15" hidden="false" customHeight="false" outlineLevel="0" collapsed="false">
      <c r="A17" s="9" t="n">
        <v>0.3</v>
      </c>
      <c r="B17" s="19" t="n">
        <f aca="false">MIN($B$9,(سناریوها!$D$12*سناریوها!$D$13*$A17*12)/سناریوها!$D$16)*(50*1000*سناریوها!$D$8*سناریوها!$D$9)+(سناریوها!$D$12*سناریوها!$D$13*$A17*12)*'اقتصاد واحد'!$D$12</f>
        <v>6964.12186181289</v>
      </c>
      <c r="C17" s="19" t="n">
        <f aca="false">MIN($B$9,(سناریوها!$D$12*سناریوها!$D$13*$A17*12)/سناریوها!$D$16)*(150*1000*سناریوها!$D$8*سناریوها!$D$9)+(سناریوها!$D$12*سناریوها!$D$13*$A17*12)*'اقتصاد واحد'!$D$12</f>
        <v>17652.3655854387</v>
      </c>
      <c r="D17" s="19" t="n">
        <f aca="false">MIN($B$9,(سناریوها!$D$12*سناریوها!$D$13*$A17*12)/سناریوها!$D$16)*(300*1000*سناریوها!$D$8*سناریوها!$D$9)+(سناریوها!$D$12*سناریوها!$D$13*$A17*12)*'اقتصاد واحد'!$D$12</f>
        <v>33684.7311708773</v>
      </c>
      <c r="E17" s="19" t="n">
        <f aca="false">MIN($B$9,(سناریوها!$D$12*سناریوها!$D$13*$A17*12)/سناریوها!$D$16)*(800*1000*سناریوها!$D$8*سناریوها!$D$9)+(سناریوها!$D$12*سناریوها!$D$13*$A17*12)*'اقتصاد واحد'!$D$12</f>
        <v>87125.9497890062</v>
      </c>
      <c r="F17" s="19" t="n">
        <f aca="false">MIN($B$9,(سناریوها!$D$12*سناریوها!$D$13*$A17*12)/سناریوها!$D$16)*(2000*1000*سناریوها!$D$8*سناریوها!$D$9)+(سناریوها!$D$12*سناریوها!$D$13*$A17*12)*'اقتصاد واحد'!$D$12</f>
        <v>215384.874472515</v>
      </c>
    </row>
    <row r="18" customFormat="false" ht="15" hidden="false" customHeight="false" outlineLevel="0" collapsed="false">
      <c r="A18" s="9" t="n">
        <v>0.4</v>
      </c>
      <c r="B18" s="19" t="n">
        <f aca="false">MIN($B$9,(سناریوها!$D$12*سناریوها!$D$13*$A18*12)/سناریوها!$D$16)*(50*1000*سناریوها!$D$8*سناریوها!$D$9)+(سناریوها!$D$12*سناریوها!$D$13*$A18*12)*'اقتصاد واحد'!$D$12</f>
        <v>7504.12186181289</v>
      </c>
      <c r="C18" s="19" t="n">
        <f aca="false">MIN($B$9,(سناریوها!$D$12*سناریوها!$D$13*$A18*12)/سناریوها!$D$16)*(150*1000*سناریوها!$D$8*سناریوها!$D$9)+(سناریوها!$D$12*سناریوها!$D$13*$A18*12)*'اقتصاد واحد'!$D$12</f>
        <v>18192.3655854387</v>
      </c>
      <c r="D18" s="19" t="n">
        <f aca="false">MIN($B$9,(سناریوها!$D$12*سناریوها!$D$13*$A18*12)/سناریوها!$D$16)*(300*1000*سناریوها!$D$8*سناریوها!$D$9)+(سناریوها!$D$12*سناریوها!$D$13*$A18*12)*'اقتصاد واحد'!$D$12</f>
        <v>34224.7311708773</v>
      </c>
      <c r="E18" s="19" t="n">
        <f aca="false">MIN($B$9,(سناریوها!$D$12*سناریوها!$D$13*$A18*12)/سناریوها!$D$16)*(800*1000*سناریوها!$D$8*سناریوها!$D$9)+(سناریوها!$D$12*سناریوها!$D$13*$A18*12)*'اقتصاد واحد'!$D$12</f>
        <v>87665.9497890062</v>
      </c>
      <c r="F18" s="19" t="n">
        <f aca="false">MIN($B$9,(سناریوها!$D$12*سناریوها!$D$13*$A18*12)/سناریوها!$D$16)*(2000*1000*سناریوها!$D$8*سناریوها!$D$9)+(سناریوها!$D$12*سناریوها!$D$13*$A18*12)*'اقتصاد واحد'!$D$12</f>
        <v>215924.874472515</v>
      </c>
    </row>
    <row r="20" customFormat="false" ht="15" hidden="false" customHeight="false" outlineLevel="0" collapsed="false">
      <c r="A20" s="4" t="s">
        <v>435</v>
      </c>
      <c r="B20" s="15" t="n">
        <f aca="false">سناریوها!$D$18*'مفروضات مشترک'!$B$53*12*(1+'مفروضات مشترک'!$B$10)</f>
        <v>8937.6</v>
      </c>
      <c r="D20" s="2" t="s">
        <v>436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2026-09-22T20:21:29Z</dcterms:created>
  <dc:creator>openpyxl</dc:creator>
  <dc:description/>
  <dc:language>en-US</dc:language>
  <cp:lastModifiedBy/>
  <dcterms:modified xsi:type="dcterms:W3CDTF">2026-09-22T20:21:29Z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